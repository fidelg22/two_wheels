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0"/>
  <workbookPr filterPrivacy="1"/>
  <xr:revisionPtr revIDLastSave="0" documentId="8_{F2865685-33FD-0741-8A74-EB015E1B2480}" xr6:coauthVersionLast="47" xr6:coauthVersionMax="47" xr10:uidLastSave="{00000000-0000-0000-0000-000000000000}"/>
  <bookViews>
    <workbookView xWindow="-120" yWindow="-120" windowWidth="28920" windowHeight="16215" xr2:uid="{00000000-000D-0000-FFFF-FFFF00000000}"/>
  </bookViews>
  <sheets>
    <sheet name="Lista de precios." sheetId="1" r:id="rId1"/>
    <sheet name="Hoja1" sheetId="4" r:id="rId2"/>
  </sheets>
  <definedNames>
    <definedName name="_xlnm.Print_Area" localSheetId="0">'Lista de precios.'!$1:$1048576</definedName>
    <definedName name="Print_Area" localSheetId="0">'Lista de precios.'!$1:$1048576</definedName>
    <definedName name="_xlnm.Print_Titles" localSheetId="0">'Lista de precios.'!$1:$3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5" i="1" l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2" i="1"/>
  <c r="F473" i="1"/>
  <c r="F474" i="1"/>
  <c r="F475" i="1"/>
  <c r="F476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2" i="1"/>
  <c r="F503" i="1"/>
  <c r="F50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G550" i="1"/>
  <c r="F550" i="1"/>
  <c r="G551" i="1"/>
  <c r="F551" i="1"/>
  <c r="G552" i="1"/>
  <c r="F552" i="1"/>
  <c r="G553" i="1"/>
  <c r="F553" i="1"/>
  <c r="G554" i="1"/>
  <c r="F554" i="1"/>
  <c r="G555" i="1"/>
  <c r="F555" i="1"/>
  <c r="G556" i="1"/>
  <c r="F556" i="1"/>
  <c r="G557" i="1"/>
  <c r="F557" i="1"/>
  <c r="G558" i="1"/>
  <c r="F558" i="1"/>
  <c r="G559" i="1"/>
  <c r="F559" i="1"/>
  <c r="G560" i="1"/>
  <c r="F560" i="1"/>
  <c r="F452" i="1"/>
  <c r="F357" i="1"/>
  <c r="F358" i="1"/>
  <c r="F359" i="1"/>
  <c r="F360" i="1"/>
  <c r="F257" i="1"/>
  <c r="F258" i="1"/>
  <c r="F259" i="1"/>
  <c r="F260" i="1"/>
  <c r="F261" i="1"/>
  <c r="F264" i="1"/>
  <c r="F265" i="1"/>
  <c r="F266" i="1"/>
  <c r="F267" i="1"/>
  <c r="F268" i="1"/>
  <c r="F269" i="1"/>
  <c r="E143" i="1"/>
  <c r="G143" i="1"/>
  <c r="F143" i="1"/>
  <c r="E144" i="1"/>
  <c r="G144" i="1"/>
  <c r="F144" i="1"/>
  <c r="E145" i="1"/>
  <c r="G145" i="1"/>
  <c r="F145" i="1"/>
  <c r="E146" i="1"/>
  <c r="G146" i="1"/>
  <c r="F146" i="1"/>
  <c r="E147" i="1"/>
  <c r="G147" i="1"/>
  <c r="F147" i="1"/>
  <c r="E148" i="1"/>
  <c r="G148" i="1"/>
  <c r="F148" i="1"/>
  <c r="F173" i="1"/>
  <c r="F174" i="1"/>
  <c r="F175" i="1"/>
  <c r="F176" i="1"/>
  <c r="F177" i="1"/>
  <c r="F178" i="1"/>
  <c r="F191" i="1"/>
  <c r="F194" i="1"/>
  <c r="F195" i="1"/>
  <c r="F196" i="1"/>
  <c r="F197" i="1"/>
  <c r="F198" i="1"/>
  <c r="F215" i="1"/>
  <c r="F216" i="1"/>
  <c r="F217" i="1"/>
  <c r="F218" i="1"/>
  <c r="F51" i="1"/>
  <c r="F52" i="1"/>
  <c r="F53" i="1"/>
  <c r="F54" i="1"/>
  <c r="F55" i="1"/>
  <c r="F56" i="1"/>
  <c r="F57" i="1"/>
  <c r="F58" i="1"/>
  <c r="F59" i="1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47" i="4"/>
  <c r="G547" i="4"/>
  <c r="F548" i="4"/>
  <c r="G548" i="4"/>
  <c r="F549" i="4"/>
  <c r="G549" i="4"/>
  <c r="F550" i="4"/>
  <c r="G550" i="4"/>
  <c r="F551" i="4"/>
  <c r="G551" i="4"/>
  <c r="F552" i="4"/>
  <c r="G552" i="4"/>
  <c r="F553" i="4"/>
  <c r="G553" i="4"/>
  <c r="F554" i="4"/>
  <c r="G554" i="4"/>
  <c r="F555" i="4"/>
  <c r="G555" i="4"/>
  <c r="F556" i="4"/>
  <c r="G556" i="4"/>
  <c r="F557" i="4"/>
  <c r="G557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9" i="4"/>
  <c r="F510" i="4"/>
  <c r="F511" i="4"/>
  <c r="F479" i="4"/>
  <c r="F480" i="4"/>
  <c r="F481" i="4"/>
  <c r="F482" i="4"/>
  <c r="F483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58" i="4"/>
  <c r="F362" i="4"/>
  <c r="F363" i="4"/>
  <c r="F364" i="4"/>
  <c r="F365" i="4"/>
  <c r="F267" i="4"/>
  <c r="F268" i="4"/>
  <c r="F269" i="4"/>
  <c r="F270" i="4"/>
  <c r="F271" i="4"/>
  <c r="F272" i="4"/>
  <c r="F260" i="4"/>
  <c r="F261" i="4"/>
  <c r="F262" i="4"/>
  <c r="F263" i="4"/>
  <c r="F264" i="4"/>
  <c r="F173" i="4"/>
  <c r="F174" i="4"/>
  <c r="F175" i="4"/>
  <c r="F176" i="4"/>
  <c r="F177" i="4"/>
  <c r="F178" i="4"/>
  <c r="F215" i="4"/>
  <c r="F216" i="4"/>
  <c r="F217" i="4"/>
  <c r="F218" i="4"/>
  <c r="F194" i="4"/>
  <c r="F195" i="4"/>
  <c r="F196" i="4"/>
  <c r="F197" i="4"/>
  <c r="F198" i="4"/>
  <c r="F191" i="4"/>
  <c r="E143" i="4"/>
  <c r="F143" i="4"/>
  <c r="G143" i="4"/>
  <c r="E144" i="4"/>
  <c r="F144" i="4"/>
  <c r="G144" i="4"/>
  <c r="E145" i="4"/>
  <c r="F145" i="4"/>
  <c r="G145" i="4"/>
  <c r="E146" i="4"/>
  <c r="F146" i="4"/>
  <c r="G146" i="4"/>
  <c r="E147" i="4"/>
  <c r="F147" i="4"/>
  <c r="G147" i="4"/>
  <c r="E148" i="4"/>
  <c r="F148" i="4"/>
  <c r="G148" i="4"/>
  <c r="F51" i="4"/>
  <c r="F52" i="4"/>
  <c r="F53" i="4"/>
  <c r="F54" i="4"/>
  <c r="F55" i="4"/>
  <c r="F56" i="4"/>
  <c r="F57" i="4"/>
  <c r="F58" i="4"/>
  <c r="F59" i="4"/>
</calcChain>
</file>

<file path=xl/sharedStrings.xml><?xml version="1.0" encoding="utf-8"?>
<sst xmlns="http://schemas.openxmlformats.org/spreadsheetml/2006/main" count="2796" uniqueCount="970">
  <si>
    <t>Lista de precios de productos</t>
  </si>
  <si>
    <t>KENDA K711</t>
  </si>
  <si>
    <t>100/80-17 52S TL K711</t>
  </si>
  <si>
    <t>04.008.0214</t>
  </si>
  <si>
    <t>04.008.0200</t>
  </si>
  <si>
    <t>110/70-12 47L TL K711</t>
  </si>
  <si>
    <t>110/70-17 54H TL K711</t>
  </si>
  <si>
    <t>120/70-12 51L TL K711</t>
  </si>
  <si>
    <t>120/70-17 58H TL K711</t>
  </si>
  <si>
    <t>120/80-17 61H TL K711</t>
  </si>
  <si>
    <t>130/70-17 62H TL K711</t>
  </si>
  <si>
    <t>140/60-17 63H TL K711</t>
  </si>
  <si>
    <t>140/70-17 66H TL K711</t>
  </si>
  <si>
    <t>150/60-17 66H TL K711</t>
  </si>
  <si>
    <t>150/70-17 69H TL K711</t>
  </si>
  <si>
    <t>160/60-17 69H TL K711</t>
  </si>
  <si>
    <t xml:space="preserve">APLICACIÓN </t>
  </si>
  <si>
    <t>DESCRIPCION</t>
  </si>
  <si>
    <t>CODIGO</t>
  </si>
  <si>
    <t>Precio de compra</t>
  </si>
  <si>
    <t>PVP</t>
  </si>
  <si>
    <t>EFECTIVO</t>
  </si>
  <si>
    <t>KENDA KM 1</t>
  </si>
  <si>
    <t>CIUDAD-CARRETERA</t>
  </si>
  <si>
    <t>SPORT TOURING</t>
  </si>
  <si>
    <t>150/60R17 66H TL KM001</t>
  </si>
  <si>
    <t>140/70R17 66H TL KM001</t>
  </si>
  <si>
    <t>120/70ZR17 58W TL KM001</t>
  </si>
  <si>
    <t>110/70R17 54H TL KM001</t>
  </si>
  <si>
    <t>160/60ZR17 69W TL KM001</t>
  </si>
  <si>
    <t>180/55ZR17 73W TL KM001</t>
  </si>
  <si>
    <t>190/55ZR17 75W TL KM001</t>
  </si>
  <si>
    <t>MICHELIN PILOT STREET 2</t>
  </si>
  <si>
    <t>70/90 - 17 M/C 43S REINF PILOT STREET 2  TL</t>
  </si>
  <si>
    <t>80/90 - 17 M/C 50S REINF PILOT STREET 2  TL</t>
  </si>
  <si>
    <t>90/90 - 17 M/C 49S PILOT STREET 2  TL</t>
  </si>
  <si>
    <t>100/80 - 17 M/C 58S REINF PILOT STREET 2  TL</t>
  </si>
  <si>
    <t>110/70 - 17 M/C 59S REINF PILOT STREET 2  TL</t>
  </si>
  <si>
    <t>110/80 - 17 M/C 57S PILOT STREET 2 LEV  TL</t>
  </si>
  <si>
    <t>80/100 - 18 M/C 47S PILOT STREET 2 LEV  TL</t>
  </si>
  <si>
    <t>90/90 - 18 M/C 57S REINF PILOT STREET 2  TL</t>
  </si>
  <si>
    <t>100/90 - 18 M/C 62S REINF PILOT STREET 2 LEV  TL</t>
  </si>
  <si>
    <t>100/90 - 17 M/C 55S PILOT STREET 2 LEV R TL</t>
  </si>
  <si>
    <t>120/80 - 17 M/C 61S PILOT STREET 2 R TL</t>
  </si>
  <si>
    <t>130/70 - 17 M/C 68S REINF PILOT STREET 2 R TL</t>
  </si>
  <si>
    <t>140/70 - 17 M/C 66S PILOT STREET 2 R TL</t>
  </si>
  <si>
    <t>110/70 - 11 M/C 45L CITY GRIP 2 F TL</t>
  </si>
  <si>
    <t>120/70-12 58S RF CITY GRIP 2 TL</t>
  </si>
  <si>
    <t>130/70 - 12 M/C 62S REINF CITY GRIP 2  TL</t>
  </si>
  <si>
    <t>120/70 - 10 M/C 54L REINF CITY GRIP 2 R TL</t>
  </si>
  <si>
    <t>MICHELIN ANAKEE ADVENTURE</t>
  </si>
  <si>
    <t>100/90 - 19 M/C 57V ANAKEE ADVENTURE F TL/TT</t>
  </si>
  <si>
    <t xml:space="preserve">110/80 R19 59V ANAKEE ADV F TL/TT </t>
  </si>
  <si>
    <t>90/90 - 21 M/C 54V ANAKEE ADVENTURE F TL/TT</t>
  </si>
  <si>
    <t>130/80 R 17 M/C 65H ANAKEE ADVENTURE R TL/TT</t>
  </si>
  <si>
    <t>140/80 R 17 M/C 69H ANAKEE ADVENTURE R TL/TT</t>
  </si>
  <si>
    <t>150/70 R 17 M/C 69V ANAKEE ADVENTURE R TL/TT</t>
  </si>
  <si>
    <t>160/60 R 17 M/C 69V ANAKEE ADVENTURE R TL/TT</t>
  </si>
  <si>
    <t>170/60 R 17 M/C 72V ANAKEE ADVENTURE R TL/TT</t>
  </si>
  <si>
    <t>DUAL 80% ROAD 20% OFF</t>
  </si>
  <si>
    <t>MICHELIN ANAKEE STREET</t>
  </si>
  <si>
    <t>90/90 - 19 M/C 52P ANAKEE STREET LEV F TL</t>
  </si>
  <si>
    <t>80/90 - 21 M/C 48S ANAKEE STREET F TL/TT</t>
  </si>
  <si>
    <t>110/90 - 17 M/C 60P ANAKEE STREET LEV R TL</t>
  </si>
  <si>
    <t>110/80 - 18 M/C 58S ANAKEE STREET R TL</t>
  </si>
  <si>
    <t>MICHELIN ROAD 6</t>
  </si>
  <si>
    <t>110/70 ZR 17 M/C 54W ROAD 6 F TL</t>
  </si>
  <si>
    <t>150/60 ZR 17 M/C 66W ROAD 6 R TL</t>
  </si>
  <si>
    <t>KENDA K6309</t>
  </si>
  <si>
    <t>2.75-18 42P TL K6309</t>
  </si>
  <si>
    <t>3.00-18 47P TL K6309</t>
  </si>
  <si>
    <t>90/90-18 51P TL K6309</t>
  </si>
  <si>
    <t>2.75-17 41P TL K6309</t>
  </si>
  <si>
    <t>90/90-17 49P TL K6309</t>
  </si>
  <si>
    <t>110/90-16 59P TL K6309</t>
  </si>
  <si>
    <t>90/90-21 54P TT K6309</t>
  </si>
  <si>
    <t>100/90-17 55P TL K6309</t>
  </si>
  <si>
    <t>110/90-17 60P TL K6309</t>
  </si>
  <si>
    <t>110/80-18 58P TL K6309</t>
  </si>
  <si>
    <t>120/80-18 62P TL K6309</t>
  </si>
  <si>
    <t>130/70-17 62H TL K6309</t>
  </si>
  <si>
    <t>PIRELLI SPORT DEMON</t>
  </si>
  <si>
    <t>90/90-17 49P TL SPORT DEMON</t>
  </si>
  <si>
    <t>100/80-17 52H TL SPORT DEMON</t>
  </si>
  <si>
    <t>110/70-17 54H TL SPORT DEMON</t>
  </si>
  <si>
    <t>110/90-16 59V TL SPORT DEMON</t>
  </si>
  <si>
    <t>120/70-17 58H TL SPORT DEMON</t>
  </si>
  <si>
    <t>130/70-17 62S TL SPORT DEMON</t>
  </si>
  <si>
    <t>130/70-18 63H TL SPORT DEMON</t>
  </si>
  <si>
    <t>140/70-17 66H TL SPORT DEMON</t>
  </si>
  <si>
    <t>150/70-17 69H TL SPORT DEMON</t>
  </si>
  <si>
    <t>DUNLOP ARROWMAX GT601</t>
  </si>
  <si>
    <t>100/80-17M 52H GT601F E</t>
  </si>
  <si>
    <t>110/70-17M 54H GT601F E</t>
  </si>
  <si>
    <t>120/70-17M 58H GT601F E</t>
  </si>
  <si>
    <t>120/80-17M 61H GT601 E</t>
  </si>
  <si>
    <t>130/70-17M 62H GT601 E</t>
  </si>
  <si>
    <t>140/70-17M 66H GT601 E</t>
  </si>
  <si>
    <t>150/70-17M 69H GT601 E</t>
  </si>
  <si>
    <t>328366</t>
  </si>
  <si>
    <t>DUNLOP Q-LITE</t>
  </si>
  <si>
    <t xml:space="preserve">100/80-17M 52H Q-LITE F  </t>
  </si>
  <si>
    <t xml:space="preserve">110/70-17M 54H Q-LITE F  </t>
  </si>
  <si>
    <t xml:space="preserve">120/70-17M 58S Q-LITE   </t>
  </si>
  <si>
    <t xml:space="preserve">130/70-17M 62H Q-LITE </t>
  </si>
  <si>
    <t xml:space="preserve">140/70-17M 66H Q-LITE </t>
  </si>
  <si>
    <t xml:space="preserve">150/60-17 M/C  66H Q-LITE </t>
  </si>
  <si>
    <t>DUNLOP SPORTMAX GPR300</t>
  </si>
  <si>
    <t xml:space="preserve">110/70ZR17M (54W) GPR300F               </t>
  </si>
  <si>
    <t>120/70ZR17M (58W) GPR300FE</t>
  </si>
  <si>
    <t>140/70R17M 66H GPR300 DEZ</t>
  </si>
  <si>
    <t xml:space="preserve">150/60R17M 66H GPR300   </t>
  </si>
  <si>
    <t>150/70ZR17M (69W) GPR300 E</t>
  </si>
  <si>
    <t xml:space="preserve">170/60ZR17M (72W) GPR300      </t>
  </si>
  <si>
    <t>180/55ZR17M (73W) GPR300 DEZ</t>
  </si>
  <si>
    <t>190/50ZR17M (73W) GPR300 DEZ</t>
  </si>
  <si>
    <t>160/60RZR17M 69W GPR300DEZ</t>
  </si>
  <si>
    <t>160/60RZR17M 69H GPR300DEZ</t>
  </si>
  <si>
    <t>PIRELLI DIABLO ROSSO SPORT</t>
  </si>
  <si>
    <t>90/90-17 49P D604F DEZ</t>
  </si>
  <si>
    <t>100/80-17 52P D604F DEZ</t>
  </si>
  <si>
    <t>DUNLOP D604</t>
  </si>
  <si>
    <t>120/80-17 61P D604 DEZ</t>
  </si>
  <si>
    <t>130/70-17 62P D604 DEZ</t>
  </si>
  <si>
    <t>100/80-17 52S TL DIABLO ROSSO SPORT</t>
  </si>
  <si>
    <t>110/70-17 54S TL DIABLO ROSSO SPORT</t>
  </si>
  <si>
    <t>130/70-17 62S TL DIABLO ROSSO SPORT</t>
  </si>
  <si>
    <t>140/70-17 66S TL DIABLO ROSSO SPORT</t>
  </si>
  <si>
    <t>150/60-17 66S TL DIABLO ROSSO SPORT</t>
  </si>
  <si>
    <t>PIRELLI DIABLO ROSSO III</t>
  </si>
  <si>
    <t>100/80R17 52H TL DIABLO ROSSO III</t>
  </si>
  <si>
    <t>110/70R17 54H TL DIABLO ROSSO III</t>
  </si>
  <si>
    <t>140/70R17 66H TL DIABLO ROSSO III</t>
  </si>
  <si>
    <t>119.60</t>
  </si>
  <si>
    <t>150/60R17 66H TL DIABLO ROSSO III</t>
  </si>
  <si>
    <t>120/70ZR17 58W TL DIABLO ROSSO III</t>
  </si>
  <si>
    <t>PIRELLI DIABLO ROSSO IV</t>
  </si>
  <si>
    <t>110/70R17 54H TL DIABLO ROSSO IV</t>
  </si>
  <si>
    <t>140/70R17 66H TL DIABLO ROSSO IV</t>
  </si>
  <si>
    <t>120/70ZR17 58W TL DIABLO ROSSO IV</t>
  </si>
  <si>
    <t>180/55ZR17 73W TL DIABLO ROSSO IV</t>
  </si>
  <si>
    <t>190/55ZR17 75W TL DIABLO ROSSO IV</t>
  </si>
  <si>
    <t>CONTINENTAL CONTI ROAD DIAGONAL</t>
  </si>
  <si>
    <t>110/70-17 CONTI ROAD M/C 54 S - Diagonal</t>
  </si>
  <si>
    <t>130/70-17  CONTIROAD  M/C 62S TL - Diagonal</t>
  </si>
  <si>
    <t>140/70-17  CONTIROAD  M/C 66S TL - Diagonal</t>
  </si>
  <si>
    <t>150/60 - 17 CONTIROAD M/C 66S TL - Diagonal</t>
  </si>
  <si>
    <t xml:space="preserve">CONTINENTAL CONTI ROAD RADIAL </t>
  </si>
  <si>
    <t xml:space="preserve">110/70 R 17 CONTIROAD M/C 54V TL </t>
  </si>
  <si>
    <t>120/70 ZR 17 CONTIROAD  M/C 58W TL</t>
  </si>
  <si>
    <t xml:space="preserve">160/60 ZR 17 CONTIROAD M/C (69W) TL </t>
  </si>
  <si>
    <t xml:space="preserve">180/55 ZR 17 CONTIROAD M/C (73W) TL </t>
  </si>
  <si>
    <t>190/50 ZR 17 CONTIROAD (73W) TL</t>
  </si>
  <si>
    <t>2447200000</t>
  </si>
  <si>
    <t>2447220000</t>
  </si>
  <si>
    <t>2445920000</t>
  </si>
  <si>
    <t>2447230000</t>
  </si>
  <si>
    <t>2445930000</t>
  </si>
  <si>
    <t xml:space="preserve">100/80-17 CONTI ROAD </t>
  </si>
  <si>
    <t>CONTINENTAL CONTI MOTION</t>
  </si>
  <si>
    <t>110/70ZR17 CONTIMOTION M/C 54W TL Z</t>
  </si>
  <si>
    <t xml:space="preserve">140/70ZR17 CONTIMOTION M/C 66W TL </t>
  </si>
  <si>
    <t xml:space="preserve">150/60 ZR 17 CONTIMOTION M/C 66W TL </t>
  </si>
  <si>
    <t xml:space="preserve">120/70 ZR 17 CONTIMOTION 58W TL Z </t>
  </si>
  <si>
    <t xml:space="preserve">160/60 ZR 17 CONTIMOTION M/C 69W TL  </t>
  </si>
  <si>
    <t xml:space="preserve">180/55 ZR 17 CONTIMOTION M/C 73W TL  </t>
  </si>
  <si>
    <t>2441610000</t>
  </si>
  <si>
    <t>2444230000</t>
  </si>
  <si>
    <t>2440870000</t>
  </si>
  <si>
    <t>90/90-21 M/C ANAKEE STREET</t>
  </si>
  <si>
    <t>CIUDAD-SPORT</t>
  </si>
  <si>
    <t>180/55ZR17 DIABLO ROSSO III</t>
  </si>
  <si>
    <t>240/45ZR17 DIABLO ROSSO III</t>
  </si>
  <si>
    <t>SUPER SPORT</t>
  </si>
  <si>
    <t>PIRELLI MT60</t>
  </si>
  <si>
    <t>90/90-19 52P TT MT60</t>
  </si>
  <si>
    <t>90/90-21 54S TT MT60</t>
  </si>
  <si>
    <t>90/90-21 54H TL MT60</t>
  </si>
  <si>
    <t>100/90-19 57H TL MT60</t>
  </si>
  <si>
    <t>110/80-18 58T TT MT60</t>
  </si>
  <si>
    <t>110/90-17 60P TT MT60</t>
  </si>
  <si>
    <t>120/80-18 62T TL MT60</t>
  </si>
  <si>
    <t>120/90-17 64S TT MT60</t>
  </si>
  <si>
    <t>130/80-17 65H TL MT60</t>
  </si>
  <si>
    <t>METZELER ENDURO SAHARA 3</t>
  </si>
  <si>
    <t>90/90-19 52P TT ENDURO 3 SAHARA</t>
  </si>
  <si>
    <t>90/90-21 54H TL ENDURO 3 SAHARA</t>
  </si>
  <si>
    <t>110/90-17 60P TT ENDURO 3 SAHARA</t>
  </si>
  <si>
    <t>120/80-18 62S TT ENDURO 3 SAHARA</t>
  </si>
  <si>
    <t>120/90-17 64S TT ENDURO 3 SAHARA</t>
  </si>
  <si>
    <t>130/80-17 65T TL ENDURO 3 SAHARA</t>
  </si>
  <si>
    <t>140/80-18 70S TT ENDURO 3 SAHARA</t>
  </si>
  <si>
    <t>MAGGION VIPER</t>
  </si>
  <si>
    <t>90/90-19 MAGGION VIPER</t>
  </si>
  <si>
    <t>90/90-21 MAGGION VIPER</t>
  </si>
  <si>
    <t>110/90-17 MAGGION VIPER</t>
  </si>
  <si>
    <t>120/80-18 MAGGION VIPER</t>
  </si>
  <si>
    <t>120/90-17 MAGGION VIPER</t>
  </si>
  <si>
    <t>PIRELLI ANGEL ST</t>
  </si>
  <si>
    <t>120/70ZR17 58W TL ANGEL ST</t>
  </si>
  <si>
    <t>160/60ZR17 69W TL ANGEL ST</t>
  </si>
  <si>
    <t>180/55ZR17 73W TL ANGEL ST</t>
  </si>
  <si>
    <t xml:space="preserve">PIRELLI ANGEL GT </t>
  </si>
  <si>
    <t>120/70ZR18 59W TL ANGEL GT</t>
  </si>
  <si>
    <t>PIRELLI ANGEL GT II</t>
  </si>
  <si>
    <t>120/70ZR17 58W TL ANGEL GT II</t>
  </si>
  <si>
    <t>PIRELLI MT60 RS</t>
  </si>
  <si>
    <t>110/80R18 58H TL MT 60 RS</t>
  </si>
  <si>
    <t>120/70ZR17 58W TL MT 60 RS</t>
  </si>
  <si>
    <t>160/60R17 69H TL MT 60 RS</t>
  </si>
  <si>
    <t>180/55R17 73H TL MT 60 RS</t>
  </si>
  <si>
    <t>CONTINENTAL CONTI SPORT ATTACK</t>
  </si>
  <si>
    <t>2443990000</t>
  </si>
  <si>
    <t>2443930000</t>
  </si>
  <si>
    <t>2443950000</t>
  </si>
  <si>
    <t>120/70 ZR 17 CONTISPORTATTACK M/C (58W) TL</t>
  </si>
  <si>
    <t>180/55 ZR 17 CONTISPORTATTACK M/C (73W) TL</t>
  </si>
  <si>
    <t xml:space="preserve">190/55 ZR 17 CONTISPORTATTACK M/C (75W) TL </t>
  </si>
  <si>
    <t>CONTINENTAL CONTI SPORT ATTACK 2</t>
  </si>
  <si>
    <t>2440060000</t>
  </si>
  <si>
    <t>2440100000</t>
  </si>
  <si>
    <t>2440140000</t>
  </si>
  <si>
    <t>120/70 ZR 17 CONTISPORTATTACK 2 K 58W TL</t>
  </si>
  <si>
    <t xml:space="preserve">180/55 R 17 CONTISPORTATTACK 2 (73W) </t>
  </si>
  <si>
    <t>190/55 ZR 17 CONTISPORTATTACK 2 K 75W TL</t>
  </si>
  <si>
    <t>120/70ZR17 58W TL DIABLO SUPERCORSA SP</t>
  </si>
  <si>
    <t>190/55ZR17 75W TL DIABLO SUPERCORSA SP</t>
  </si>
  <si>
    <t>200/55ZR17 78W TL DIABLO SUPERCORSA SP</t>
  </si>
  <si>
    <t>PIRELLI DIABLO SUPER CORSA V4 SP*</t>
  </si>
  <si>
    <t>PIRELLI DIABLO ROSSO CORSA IV</t>
  </si>
  <si>
    <t>120/70ZR17 58W TL DIABLO ROSSO CORSA IV</t>
  </si>
  <si>
    <t>190/55ZR17 75W TL DIABLO ROSSO CORSA IV</t>
  </si>
  <si>
    <t>200/55ZR17 78W TL DIABLO ROSSO CORSA IV</t>
  </si>
  <si>
    <t>CONTINENTAL CONTI RACE ATTACK 2 MEDIUM</t>
  </si>
  <si>
    <t>120/70 ZR 17 ContiRACEATTACK 2 (58W) TL MEDIUM</t>
  </si>
  <si>
    <t>180/60 ZR 17 ContiRACEATTACK 2 75W TL MEDIUM</t>
  </si>
  <si>
    <t>190/55 ZR 17 CONTIRACEATTACK 2 75W TL MEDIUM</t>
  </si>
  <si>
    <t>CONTINENTAL CONTI TRACK</t>
  </si>
  <si>
    <t xml:space="preserve">PIRELLI DIABLO SUPERBIKE SC1 </t>
  </si>
  <si>
    <t>METZELER TOURANCE</t>
  </si>
  <si>
    <t>120/80-18</t>
  </si>
  <si>
    <t>110/80R19 59V TL TOURANCE</t>
  </si>
  <si>
    <t>150/70R17 69V TL TOURANCE</t>
  </si>
  <si>
    <t>CONTINENTAL CONTI ATTACK SM 2</t>
  </si>
  <si>
    <t>PIRELLI SCORPION RALLY STR</t>
  </si>
  <si>
    <t>90/90-21 54V TL M+S SCORPION RALLY STR</t>
  </si>
  <si>
    <t>100/90-19 57V TL SCORPION RALLY STR</t>
  </si>
  <si>
    <t>110/70R17 54H TL M+S SCORPION RALLY STR</t>
  </si>
  <si>
    <t>110/80R19 59V TL M+S SCORPION RALLY STR</t>
  </si>
  <si>
    <t>120/70R17 58V TL M+S SCORPION RALLY STR</t>
  </si>
  <si>
    <t>120/70R19 60V TL M+S SCORPION RALLY STR</t>
  </si>
  <si>
    <t>140/80R17 69V TL M+S SCORPION RALLY STR</t>
  </si>
  <si>
    <t>150/70R17 69V TL M+S SCORPION RALLY STR</t>
  </si>
  <si>
    <t>150/70R18 70V TL M+S SCORPION RALLY STR</t>
  </si>
  <si>
    <t>170/60R17 72V TL M+S SCORPION RALLY STR</t>
  </si>
  <si>
    <t>180/55R17 73V TL M+S SCORPION RALLY STR</t>
  </si>
  <si>
    <t>METZELER KAROO STREET</t>
  </si>
  <si>
    <t>90/90-21 54V TL KAROO STREET</t>
  </si>
  <si>
    <t>110/80R19 59V TL KAROO STREET</t>
  </si>
  <si>
    <t>120/70R19 60V TL KAROO STREET</t>
  </si>
  <si>
    <t>130/80R17 65V TL KAROO STREET</t>
  </si>
  <si>
    <t>140/80R17 69V TL KAROO STREET</t>
  </si>
  <si>
    <t>150/70R17 69V TL KAROO STREET</t>
  </si>
  <si>
    <t>150/70R18 70V TL KAROO STREET</t>
  </si>
  <si>
    <t>170/60R17 72V TL KAROO STREET</t>
  </si>
  <si>
    <t xml:space="preserve">PIRELLI SCORPION RALLY </t>
  </si>
  <si>
    <t>90/90-21 54R TL SCORPION RALLY</t>
  </si>
  <si>
    <t>150/70R18 70R TL SCORPION RALLY</t>
  </si>
  <si>
    <t>PIRELLI SCORPION RALLY RACE</t>
  </si>
  <si>
    <t>90/90-21 54R TT SCORPION RALLY RACE</t>
  </si>
  <si>
    <t>140/80-18 70R TT SCORPION RALLY RACE</t>
  </si>
  <si>
    <t>METZELER KAROO 4</t>
  </si>
  <si>
    <t>90/90-21 54T TL KAROO 4</t>
  </si>
  <si>
    <t>150/70R17 69T TL KAROO 4</t>
  </si>
  <si>
    <t>150/70R18 70T TL KAROO 4</t>
  </si>
  <si>
    <t>KENDA TRAKMASTER DTR K6342</t>
  </si>
  <si>
    <t>90/90B21 54T TL K6342 TRAKMASTER DTR</t>
  </si>
  <si>
    <t>110/80B19 59T TL K6342 TRAKMASTER DTR</t>
  </si>
  <si>
    <t>130/80B17 65T TL K6342 TRAKMASTER DTR</t>
  </si>
  <si>
    <t>140/80B18 70T TL K6342 TRAKMASTER DTR</t>
  </si>
  <si>
    <t>150/70R17 69V TL M+S K6342 TRAKMASTER DTR</t>
  </si>
  <si>
    <t>150/70B18 70T TL K6342 TRAKMASTER DTR</t>
  </si>
  <si>
    <t>KENDA BIG BLOCK K 784</t>
  </si>
  <si>
    <t>90/90B21 54T TL M+S K784 BIG BLOCK</t>
  </si>
  <si>
    <t>110/80B19 59Q TL M+S K784 BIG BLOCK</t>
  </si>
  <si>
    <t>130/80B17 65T TL M+S K784 BIG BLOCK</t>
  </si>
  <si>
    <t>140/80B18 70R TL M+S K784 BIG BLOCK</t>
  </si>
  <si>
    <t>150/70B17 69Q TL K784 BIG BLOCK</t>
  </si>
  <si>
    <t>150/70B18 70Q TL M+S K784 BIG BLOCK</t>
  </si>
  <si>
    <t>DUNLOP ALPHA 13 SP</t>
  </si>
  <si>
    <t>110/70R-17M 54H AL-13SPF</t>
  </si>
  <si>
    <t>110/70R-17M 54W AL-13SPF</t>
  </si>
  <si>
    <t>120/70ZR17M (58W) AL-13SPF</t>
  </si>
  <si>
    <t>140/70R-17M AL-13SP</t>
  </si>
  <si>
    <t>180/60ZR17M (75W) AL-13SP</t>
  </si>
  <si>
    <t>200/55ZR17M (78W) AL-13SP</t>
  </si>
  <si>
    <t xml:space="preserve">DUNLOP ALPHA 14 </t>
  </si>
  <si>
    <t>120/70ZR17M (58W) AL-14F</t>
  </si>
  <si>
    <t>180/55ZR17M (73W) AL-14</t>
  </si>
  <si>
    <t>190/55ZR17M (75W) AL-14Z</t>
  </si>
  <si>
    <t>200/55ZR17M (78W) AL-14Z</t>
  </si>
  <si>
    <t>DUNLOP SPORTMAX Q5A</t>
  </si>
  <si>
    <t>120/70ZR17M (58W) Q5A F DUNLOP</t>
  </si>
  <si>
    <t>180/55ZR17M (73W) Q5A  DUNLOP</t>
  </si>
  <si>
    <t>DUNLOP SPORTMAX SLICK</t>
  </si>
  <si>
    <t xml:space="preserve">90  /  80R  -  17  MOTO3F  S1  </t>
  </si>
  <si>
    <t>120 /  70R  17   KR149  F DUNLOP</t>
  </si>
  <si>
    <t>115  /  75R  17   MOTO3   S1</t>
  </si>
  <si>
    <t>115 /  70R  17   MOTO3   S1</t>
  </si>
  <si>
    <t>200 / 60R  17   SLICK MED</t>
  </si>
  <si>
    <t>80/90-17 44P D604F DEZ</t>
  </si>
  <si>
    <t>100/90-17 55P D604 DEZ</t>
  </si>
  <si>
    <t>110/80-17 57P D604 DEZ</t>
  </si>
  <si>
    <t>250-17 43P D604F WT RF DE</t>
  </si>
  <si>
    <t>275-17 47P D604 WT RF DEZ</t>
  </si>
  <si>
    <t>300-17 50P D604 WT RF DEZ</t>
  </si>
  <si>
    <t>275-18 42P D604F WT DEZ</t>
  </si>
  <si>
    <t>300-18 52P D604 WT RF DEZ</t>
  </si>
  <si>
    <t>410-18 59P D604 WT DE</t>
  </si>
  <si>
    <t>90/90-18 57P D604 WT DEZ</t>
  </si>
  <si>
    <t>300-21 51P D604FG WT   DE</t>
  </si>
  <si>
    <t>120/80-18M 62P D605J (SU) DE</t>
  </si>
  <si>
    <t>4.10-18 59P D605 WT</t>
  </si>
  <si>
    <t>300-21 51P D605FN WT DEZ</t>
  </si>
  <si>
    <t>DUNLOP D606 10/90</t>
  </si>
  <si>
    <t>DUNLOP D605 50/50</t>
  </si>
  <si>
    <t xml:space="preserve">130/90-17M (68R) D606 WT </t>
  </si>
  <si>
    <t>120/90-18M (65R) D606 WT</t>
  </si>
  <si>
    <t>130/90-18M (69R) D606</t>
  </si>
  <si>
    <t>90/90-21M (54R) D606F WT</t>
  </si>
  <si>
    <t>SCOOTERS</t>
  </si>
  <si>
    <t>90/90-10 50J TL K348</t>
  </si>
  <si>
    <t>110/70-13 48P TL K6007</t>
  </si>
  <si>
    <t>130/70-13 57P TL K6007</t>
  </si>
  <si>
    <t>PIRELLI SCORPION MX 32 MID - SOFT</t>
  </si>
  <si>
    <t>DUAL 70% ROAD 30% OFF</t>
  </si>
  <si>
    <t>ROAD SPORT</t>
  </si>
  <si>
    <t>TRACK 80% - ROAD 20%</t>
  </si>
  <si>
    <t>TRACK 90% - ROAD 10%</t>
  </si>
  <si>
    <t>TRACK 50% - ROAD 50%</t>
  </si>
  <si>
    <t>TRACK</t>
  </si>
  <si>
    <t>TRACK - PISTA</t>
  </si>
  <si>
    <t>DUAL 60% ROAD 40% OFF</t>
  </si>
  <si>
    <t>DUAL 50% ROAD 50% OFF</t>
  </si>
  <si>
    <t>DUAL 40% ROAD 60% OFF</t>
  </si>
  <si>
    <t>DUAL 10% ROAD 90% OFF</t>
  </si>
  <si>
    <t>CROSS</t>
  </si>
  <si>
    <t>80/100-21 51M TT SCORPION MX32 MID SOFT YELLOW</t>
  </si>
  <si>
    <t>110/90-19 62M TT SCORPION MX32 MID SOFT YELLOW</t>
  </si>
  <si>
    <t>120/90-19 66M TT SCORPION MX32 MID SOFT YELLOW</t>
  </si>
  <si>
    <t>METZELER 360 MID - SOFT</t>
  </si>
  <si>
    <t>80/100-21 51M TT MST 360 MID SOFT</t>
  </si>
  <si>
    <t>120/100-18 68M TT MST 360 MID SOFT</t>
  </si>
  <si>
    <t>METZELER 360 MID - HARD</t>
  </si>
  <si>
    <t>80/100-21 51M TT NHS 360 MID HARD</t>
  </si>
  <si>
    <t>140/80-18 70M TT MST 360 MID HARD</t>
  </si>
  <si>
    <t>ACEITES</t>
  </si>
  <si>
    <t>15 W 50 WOLVER FULL SYNTHETIC  </t>
  </si>
  <si>
    <t>FULL SINTETICO</t>
  </si>
  <si>
    <t>15W50 MOTORTEC 4T 1,2 LITROS</t>
  </si>
  <si>
    <t>10W40 MOTORTEC 4T 1,2 LITROS</t>
  </si>
  <si>
    <t xml:space="preserve">10W-40 ACEITE MOTO 4T REPSOL RACING 4T </t>
  </si>
  <si>
    <t>08102RACING4T10W40</t>
  </si>
  <si>
    <t>10W40 MANNOL FULL SYNTHETIC</t>
  </si>
  <si>
    <t>15W50 MANNOL FULL SYNTHETIC</t>
  </si>
  <si>
    <t>CONTINENTAL TKC 70 - ROCKS</t>
  </si>
  <si>
    <t xml:space="preserve">150/60 ZR 17 CONTIROAD M/C (66W) TL </t>
  </si>
  <si>
    <t>MITAS SPORT FORCE +</t>
  </si>
  <si>
    <t>M70000071</t>
  </si>
  <si>
    <t>M70001246</t>
  </si>
  <si>
    <t>M70000074</t>
  </si>
  <si>
    <t>M70000075</t>
  </si>
  <si>
    <t>M70001249</t>
  </si>
  <si>
    <t>M70000077</t>
  </si>
  <si>
    <t>M70001251</t>
  </si>
  <si>
    <t>M70001229</t>
  </si>
  <si>
    <t>M70001231</t>
  </si>
  <si>
    <t>M70001409</t>
  </si>
  <si>
    <t>M70001233</t>
  </si>
  <si>
    <t>M70001250</t>
  </si>
  <si>
    <t>M70001234</t>
  </si>
  <si>
    <t>M70001408</t>
  </si>
  <si>
    <t>M70001254</t>
  </si>
  <si>
    <t>120/70ZR17 58W</t>
  </si>
  <si>
    <t>160/60ZR17 69W</t>
  </si>
  <si>
    <t>180/55ZR17 73W</t>
  </si>
  <si>
    <t>190/55ZR17 75W</t>
  </si>
  <si>
    <t>100/80-17 52S</t>
  </si>
  <si>
    <t>100/80-17 52H</t>
  </si>
  <si>
    <t>110/70-17 54H</t>
  </si>
  <si>
    <t>110/70-17 54S</t>
  </si>
  <si>
    <t>130/70-17 62H</t>
  </si>
  <si>
    <t>130/70-17 62S</t>
  </si>
  <si>
    <t>140/70-17 66H</t>
  </si>
  <si>
    <t>150/60-17 66S</t>
  </si>
  <si>
    <t>150/60-17 66H</t>
  </si>
  <si>
    <t>15W50 MT</t>
  </si>
  <si>
    <t xml:space="preserve">15W50 </t>
  </si>
  <si>
    <t>10W40 MT 1.2</t>
  </si>
  <si>
    <t>012MN9672</t>
  </si>
  <si>
    <t>MANNOL LIMPIADOR DE FREMNOS/ZAPATAS EMBRAGUES CADENAS 600ML</t>
  </si>
  <si>
    <t>LIMPIADOR</t>
  </si>
  <si>
    <t>120/70 R 17 TL ContiTrack SoFrontt NHS</t>
  </si>
  <si>
    <t>180/60 R 17 TL ContiTrack Medium NHS</t>
  </si>
  <si>
    <t>200/55 R 17 TL ContiTrack Medium NHS</t>
  </si>
  <si>
    <t>02444030000</t>
  </si>
  <si>
    <t>02444110000</t>
  </si>
  <si>
    <t>02446290000</t>
  </si>
  <si>
    <t>13404</t>
  </si>
  <si>
    <t xml:space="preserve">80/90-21 MC 48S TOURANCE </t>
  </si>
  <si>
    <t>MITAS SPORT FORCE + EV</t>
  </si>
  <si>
    <t>M70000078</t>
  </si>
  <si>
    <t>M70000079</t>
  </si>
  <si>
    <t>M70000080</t>
  </si>
  <si>
    <t>M70000082</t>
  </si>
  <si>
    <t>M70001057</t>
  </si>
  <si>
    <t>200/55ZR17 78W</t>
  </si>
  <si>
    <t>MITAS SPORT FORCE + RS</t>
  </si>
  <si>
    <t>M70000003</t>
  </si>
  <si>
    <t>M70001045</t>
  </si>
  <si>
    <t>M70000004</t>
  </si>
  <si>
    <t>M70001296</t>
  </si>
  <si>
    <t>M70001047</t>
  </si>
  <si>
    <t>M70001297</t>
  </si>
  <si>
    <t>110/70ZR17 54W</t>
  </si>
  <si>
    <t>140/70ZR17 66W</t>
  </si>
  <si>
    <t>180/60ZR17 75W</t>
  </si>
  <si>
    <t>190/55ZR17 78W</t>
  </si>
  <si>
    <t>TIMSUN 659</t>
  </si>
  <si>
    <t>LLANTA 90/90-17 TS-659A 49P 4PR TL</t>
  </si>
  <si>
    <t>12MN7832</t>
  </si>
  <si>
    <t>12MN7812</t>
  </si>
  <si>
    <t>LLA00006</t>
  </si>
  <si>
    <t>LLA00016</t>
  </si>
  <si>
    <t>LLA00031</t>
  </si>
  <si>
    <t>LLA00032</t>
  </si>
  <si>
    <t>LLA00034</t>
  </si>
  <si>
    <t>LLA00037</t>
  </si>
  <si>
    <t>LLA00038</t>
  </si>
  <si>
    <t>LLA00052</t>
  </si>
  <si>
    <t>LLA00065</t>
  </si>
  <si>
    <t>LLA00095</t>
  </si>
  <si>
    <t>LLA00099</t>
  </si>
  <si>
    <t>LLA00109</t>
  </si>
  <si>
    <t>LLA00116</t>
  </si>
  <si>
    <t>LLA00125</t>
  </si>
  <si>
    <t>LLA00134</t>
  </si>
  <si>
    <t>LLA00148</t>
  </si>
  <si>
    <t>LLA00149</t>
  </si>
  <si>
    <t>LLA00153</t>
  </si>
  <si>
    <t>LLA00170</t>
  </si>
  <si>
    <t>LLA00172</t>
  </si>
  <si>
    <t>LLANTA 100/80-17 TS-659A 52P 4PR TL</t>
  </si>
  <si>
    <t>LLANTA 120/80-18 TS-822 62P 4PR TT</t>
  </si>
  <si>
    <t>LLANTA 4.60-18 TS-829 63P 4PR TT</t>
  </si>
  <si>
    <t>LLANTA 90/90-17 TS-823 49P 4PR TL</t>
  </si>
  <si>
    <t>LLANTA 90/90-21 TS-823 4PR 54P TL</t>
  </si>
  <si>
    <t>LLANTA 110/70-17 TS-659A 54H 4PR TL HG</t>
  </si>
  <si>
    <t>LLANTA 130/70-17 TS-659A 62H 4PR TL HG</t>
  </si>
  <si>
    <t>LLANTA 130/90-15 TS-608 66P TL</t>
  </si>
  <si>
    <t>LLANTA 130/80-17 TS-822 65P 4PR TL</t>
  </si>
  <si>
    <t>LLANTA 110/70-17 TS-712F 54H 4PR TL</t>
  </si>
  <si>
    <t>LLANTA 120/80-17 TS-659A 61S 4PR TL</t>
  </si>
  <si>
    <t>LLANTA 3.00-21 TS-829F 51P 4PR TT</t>
  </si>
  <si>
    <t>LLANTA 110/80-18 TS-822 58P 4PR TL</t>
  </si>
  <si>
    <t>LLANTA 140/70-17 TS-712R 66H 4PR TL</t>
  </si>
  <si>
    <t>LLANTA 90/90-19 TS-659F 52P 4PR TL</t>
  </si>
  <si>
    <t>LLANTA 110/80-17 TS-659A 57H 4PR TL</t>
  </si>
  <si>
    <t>LLANTA 100/90-19 TS-823 57P 4PR TL</t>
  </si>
  <si>
    <t>LLANTA 5.10-18 TS-829 69P 4PR TT</t>
  </si>
  <si>
    <t>LLANTA 110/80-17 TS-823 57P 4PR TL HG</t>
  </si>
  <si>
    <t>TIMSUN TS 829</t>
  </si>
  <si>
    <t>TIMSUN TS 712</t>
  </si>
  <si>
    <t>TIMSUN TS 608</t>
  </si>
  <si>
    <t>TIMSUN TS 823</t>
  </si>
  <si>
    <t>TIMSUN TS 822</t>
  </si>
  <si>
    <t>2447210000</t>
  </si>
  <si>
    <t>2445940000</t>
  </si>
  <si>
    <t>190/55 ZR 17 CONTIROAD (75W) TL</t>
  </si>
  <si>
    <t>40050297</t>
  </si>
  <si>
    <t>190/55 ZR 17 M/C 75W ROAD 6 F TL</t>
  </si>
  <si>
    <t>120/70 ZR 17 M/C 58W ROAD 6 F TL</t>
  </si>
  <si>
    <t>160/60 ZR 17 M/C (69W) ROAD 6 R TL</t>
  </si>
  <si>
    <t>180/55 ZR 17 M/C (73W) ROAD 6 R TL</t>
  </si>
  <si>
    <t>150/60R17 66H TL DIABLO ROSSO IV</t>
  </si>
  <si>
    <t>CONTINENTAL CONTI SPORT ATTACK 5</t>
  </si>
  <si>
    <t>2446000000</t>
  </si>
  <si>
    <t>CONTINENTAL CONTI SPORT ATTACK 4</t>
  </si>
  <si>
    <t xml:space="preserve">190/55 R 17 CONTISPORTATTACK 4 </t>
  </si>
  <si>
    <t xml:space="preserve">110/70 R 17 M/C 54H TL </t>
  </si>
  <si>
    <t>140/70 R 17 M/C 66H TL</t>
  </si>
  <si>
    <t xml:space="preserve">150/60 R 17 M/C 66H TL </t>
  </si>
  <si>
    <t>120/70ZR17 M/C 58W TL</t>
  </si>
  <si>
    <t xml:space="preserve">180/55ZR17 M/C 73W TL </t>
  </si>
  <si>
    <t xml:space="preserve">190/55ZR17 M/C 75W TL </t>
  </si>
  <si>
    <t xml:space="preserve">200/55ZR17 M/C 78W TL </t>
  </si>
  <si>
    <t>CONTINENTAL CONTI RACE ATTACK 2 STREET</t>
  </si>
  <si>
    <t xml:space="preserve">120/70ZR17 M/C (58W) TL </t>
  </si>
  <si>
    <t>160/60ZR17 M/C (69W) TL</t>
  </si>
  <si>
    <t>180/55ZR17 M/C (73W) TL</t>
  </si>
  <si>
    <t>190/55ZR17 M/C (75W) TL</t>
  </si>
  <si>
    <t xml:space="preserve">200/55ZR17 M/C (78W) TL </t>
  </si>
  <si>
    <t>140/80 R 17 (69S) TL</t>
  </si>
  <si>
    <t>10W40 4T SINTETICO MC4QT</t>
  </si>
  <si>
    <t>10W40 METRIC SINTETICO MCFQT</t>
  </si>
  <si>
    <t>15W50 4T SINTETICO MC7QT</t>
  </si>
  <si>
    <t>METRIC 15W50 4T SINTETICO MFFQT</t>
  </si>
  <si>
    <t>20W50 4T SINTETICO MC5QT</t>
  </si>
  <si>
    <t>90/90-21 (54S) TT</t>
  </si>
  <si>
    <t>90/90-21 (54T) TL</t>
  </si>
  <si>
    <t>4.10-18 (66P) TT</t>
  </si>
  <si>
    <t>100/90-19 (57S) TT</t>
  </si>
  <si>
    <t>110/80B19 (59Q) TL</t>
  </si>
  <si>
    <t>120/70-17 (58Q) TL</t>
  </si>
  <si>
    <t>130/80-17 (65S) TT</t>
  </si>
  <si>
    <t xml:space="preserve">130/80-17 M/C 65T TL </t>
  </si>
  <si>
    <t>140/80-18 (70R) TT</t>
  </si>
  <si>
    <t>120/70-19 (60Q) TL</t>
  </si>
  <si>
    <t>150/70B17 (69Q) TL</t>
  </si>
  <si>
    <t>170/60B17 (72Q) TL</t>
  </si>
  <si>
    <t>180/55-17 (53Q) TL</t>
  </si>
  <si>
    <t>150/70B18 (70Q) TT</t>
  </si>
  <si>
    <t>150/70B18 (70Q) TL</t>
  </si>
  <si>
    <t>DUAL 50% OFF 50% ROAD</t>
  </si>
  <si>
    <t xml:space="preserve">61080120/70R19ANAD </t>
  </si>
  <si>
    <t>120/70 R 19 M/C 60V ANAKEE ADVENTURE F TL/TT</t>
  </si>
  <si>
    <t> 61080110/80R19ANAD</t>
  </si>
  <si>
    <t>6108090/90-21ANAD</t>
  </si>
  <si>
    <t>61080140/80R17ANAD</t>
  </si>
  <si>
    <t>61080150/70R18ANAD</t>
  </si>
  <si>
    <t>150/70 R 18 M/C 70V ANAKEE ADVENTURE R TL/TT</t>
  </si>
  <si>
    <t>61080100/90-19ANAD</t>
  </si>
  <si>
    <t>61080130/80R17ANAD</t>
  </si>
  <si>
    <t>61080120-70R17ANAD</t>
  </si>
  <si>
    <t>120/70 R 17 M/C 58V ANAKEE ADVENTURE F TL/TT</t>
  </si>
  <si>
    <t>61080150/70R17ANAD</t>
  </si>
  <si>
    <t>61080160/60R17ANAD</t>
  </si>
  <si>
    <t>61080170/60R17ANAD</t>
  </si>
  <si>
    <t>120/80 - 18 M/C 68T REINF ANAKEE STREET MST R TL</t>
  </si>
  <si>
    <t>61080120/80-18ANST</t>
  </si>
  <si>
    <t>61080110/90-17ANST</t>
  </si>
  <si>
    <t>6108090/90-19ANST</t>
  </si>
  <si>
    <t> 61080130/80-17ANST</t>
  </si>
  <si>
    <t>61080110/80-18ANST</t>
  </si>
  <si>
    <t>130/80 - 17 M/C 71T ANAKEE STREET R TL</t>
  </si>
  <si>
    <t>6108080/90-21ANST</t>
  </si>
  <si>
    <t>120/70ZR17 (58W) TL</t>
  </si>
  <si>
    <t>110/80 R 18 M/C 58H TL TKC 70 M+S</t>
  </si>
  <si>
    <t xml:space="preserve">100/90-19 (57T) TL </t>
  </si>
  <si>
    <t>110/80R19 (59V) TL</t>
  </si>
  <si>
    <t>120/70R19 (60V) TL</t>
  </si>
  <si>
    <t>130/80-17 (65T) TL</t>
  </si>
  <si>
    <t>140/80R17 (69T) TL</t>
  </si>
  <si>
    <t>150/70R17 (69V) TL</t>
  </si>
  <si>
    <t>160/60ZR17 (69W) TL</t>
  </si>
  <si>
    <t>170/60ZR17 (72S) TL</t>
  </si>
  <si>
    <t>150/70R18 (70T) TL</t>
  </si>
  <si>
    <t>180/55ZR17 (73W) TL</t>
  </si>
  <si>
    <t>120/90-17 (64T) TL</t>
  </si>
  <si>
    <t xml:space="preserve">130/80 R 17 (65S) TL </t>
  </si>
  <si>
    <t>150/70R17 (69S) TL</t>
  </si>
  <si>
    <t>170/60R17 (72S) TL</t>
  </si>
  <si>
    <t>150/70 R 18 (70S) TL</t>
  </si>
  <si>
    <t>CONTINENTAL TKC 80</t>
  </si>
  <si>
    <t>58636</t>
  </si>
  <si>
    <t>3.50-10 (59M) TL (100/90-10)</t>
  </si>
  <si>
    <t>110/90-13 M/C 56Q TL TWIST</t>
  </si>
  <si>
    <t>120/70-10 (54L) TL</t>
  </si>
  <si>
    <t xml:space="preserve">120/90-10 (57J) TL </t>
  </si>
  <si>
    <t>130/90-10 (61J) TL</t>
  </si>
  <si>
    <t>110/70-11 (45M) TL</t>
  </si>
  <si>
    <t>120/70-12 (58P) TL</t>
  </si>
  <si>
    <t>130/70-12 (62P) TL</t>
  </si>
  <si>
    <t>130/60-13 (53P) TL</t>
  </si>
  <si>
    <t xml:space="preserve">130/70-13  63Q TL </t>
  </si>
  <si>
    <t>120/70-14 (55S) TL</t>
  </si>
  <si>
    <t>140/70-14 M/C 68S TL RF TWIST</t>
  </si>
  <si>
    <t>120/70-14 M/C 55P TL</t>
  </si>
  <si>
    <t xml:space="preserve">120/70-15 M/C 56S TL </t>
  </si>
  <si>
    <t>130/70-13 M/C 63P TL</t>
  </si>
  <si>
    <t>FA22 BMW R80 1978</t>
  </si>
  <si>
    <t>FA51 KAWASAKI KZ</t>
  </si>
  <si>
    <t>FA84X</t>
  </si>
  <si>
    <t>FA140</t>
  </si>
  <si>
    <t>FA152/2R  DR650</t>
  </si>
  <si>
    <t>FA196V</t>
  </si>
  <si>
    <t>FA209/2V</t>
  </si>
  <si>
    <t>FA213V</t>
  </si>
  <si>
    <t>FA214HH</t>
  </si>
  <si>
    <t>FA231 vstrom front</t>
  </si>
  <si>
    <t>FA236HH</t>
  </si>
  <si>
    <t>FA244V</t>
  </si>
  <si>
    <t>FA256</t>
  </si>
  <si>
    <t>FA256HH</t>
  </si>
  <si>
    <t>FA258R</t>
  </si>
  <si>
    <t>FA260</t>
  </si>
  <si>
    <t>FA266R</t>
  </si>
  <si>
    <t>FA298</t>
  </si>
  <si>
    <t>FA298HH</t>
  </si>
  <si>
    <t>SFA321 PIAGGIO</t>
  </si>
  <si>
    <t>FA324 SCOOTERS</t>
  </si>
  <si>
    <t>FA325R</t>
  </si>
  <si>
    <t>FA357R KTM65</t>
  </si>
  <si>
    <t>FA401R</t>
  </si>
  <si>
    <t>FA417-4HH</t>
  </si>
  <si>
    <t>SFA418HH</t>
  </si>
  <si>
    <t>FA419V</t>
  </si>
  <si>
    <t>FA433/4HH</t>
  </si>
  <si>
    <t>FA435/4HH</t>
  </si>
  <si>
    <t>FA630HH</t>
  </si>
  <si>
    <t>FA658 BENELLI</t>
  </si>
  <si>
    <t>FA658HH BENELLI</t>
  </si>
  <si>
    <t>FA698 BENELLI</t>
  </si>
  <si>
    <t>FA698HH BENELLI</t>
  </si>
  <si>
    <t>SFA705HH</t>
  </si>
  <si>
    <t>SFA706HH</t>
  </si>
  <si>
    <t>FA724HH BMW 1200</t>
  </si>
  <si>
    <t>EPFA724HH</t>
  </si>
  <si>
    <t xml:space="preserve">FA16 </t>
  </si>
  <si>
    <t xml:space="preserve">FA22 </t>
  </si>
  <si>
    <t xml:space="preserve">FA34 </t>
  </si>
  <si>
    <t xml:space="preserve">FA47HH </t>
  </si>
  <si>
    <t xml:space="preserve">FA51 </t>
  </si>
  <si>
    <t xml:space="preserve">FA54X </t>
  </si>
  <si>
    <t xml:space="preserve">FA57 </t>
  </si>
  <si>
    <t xml:space="preserve">FA63HH </t>
  </si>
  <si>
    <t xml:space="preserve">FA67R </t>
  </si>
  <si>
    <t xml:space="preserve">FA84R </t>
  </si>
  <si>
    <t xml:space="preserve">FA85HH </t>
  </si>
  <si>
    <t xml:space="preserve">FA88HH </t>
  </si>
  <si>
    <t>FA94HH</t>
  </si>
  <si>
    <t xml:space="preserve">FA101X </t>
  </si>
  <si>
    <t xml:space="preserve">FA111R  </t>
  </si>
  <si>
    <t xml:space="preserve">FA119R </t>
  </si>
  <si>
    <t xml:space="preserve">FA119X </t>
  </si>
  <si>
    <t xml:space="preserve">FA123HH </t>
  </si>
  <si>
    <t xml:space="preserve">FA129HH </t>
  </si>
  <si>
    <t xml:space="preserve">FA130R </t>
  </si>
  <si>
    <t xml:space="preserve">FA130X   </t>
  </si>
  <si>
    <t xml:space="preserve">FA131r </t>
  </si>
  <si>
    <t xml:space="preserve">FA131X </t>
  </si>
  <si>
    <t xml:space="preserve">FA135R </t>
  </si>
  <si>
    <t xml:space="preserve">FA135X  </t>
  </si>
  <si>
    <t xml:space="preserve">FA137X </t>
  </si>
  <si>
    <t xml:space="preserve">FA140HH </t>
  </si>
  <si>
    <t xml:space="preserve">FA142HH </t>
  </si>
  <si>
    <t xml:space="preserve">FA147X </t>
  </si>
  <si>
    <t>FA150HH</t>
  </si>
  <si>
    <t xml:space="preserve">FA152/2R </t>
  </si>
  <si>
    <t xml:space="preserve">FA152R </t>
  </si>
  <si>
    <t xml:space="preserve">FA152X </t>
  </si>
  <si>
    <t>FA157X</t>
  </si>
  <si>
    <t xml:space="preserve">FA158HH </t>
  </si>
  <si>
    <t xml:space="preserve">FA159R </t>
  </si>
  <si>
    <t>FA161HH</t>
  </si>
  <si>
    <t xml:space="preserve">FA165X </t>
  </si>
  <si>
    <t xml:space="preserve">FA171 </t>
  </si>
  <si>
    <t xml:space="preserve">FA172X </t>
  </si>
  <si>
    <t xml:space="preserve">FA174HH </t>
  </si>
  <si>
    <t xml:space="preserve">FA179HH </t>
  </si>
  <si>
    <t xml:space="preserve">FA181HH </t>
  </si>
  <si>
    <t xml:space="preserve">FA181R   </t>
  </si>
  <si>
    <t xml:space="preserve">FA181X </t>
  </si>
  <si>
    <t xml:space="preserve">FA185R </t>
  </si>
  <si>
    <t xml:space="preserve">FA185X </t>
  </si>
  <si>
    <t xml:space="preserve">FA188HH </t>
  </si>
  <si>
    <t xml:space="preserve">FA192HH </t>
  </si>
  <si>
    <t>FA194HH</t>
  </si>
  <si>
    <t xml:space="preserve">FA196HH </t>
  </si>
  <si>
    <t>FA197</t>
  </si>
  <si>
    <t xml:space="preserve">FA197HH </t>
  </si>
  <si>
    <t xml:space="preserve">FA199HH </t>
  </si>
  <si>
    <t xml:space="preserve">FA200HH </t>
  </si>
  <si>
    <t xml:space="preserve">FA201HH </t>
  </si>
  <si>
    <t xml:space="preserve">FA208R </t>
  </si>
  <si>
    <t xml:space="preserve">FA209/2HH </t>
  </si>
  <si>
    <t xml:space="preserve">FA213HH </t>
  </si>
  <si>
    <t>FA226HH</t>
  </si>
  <si>
    <t xml:space="preserve">FA228 </t>
  </si>
  <si>
    <t xml:space="preserve">FA228HH </t>
  </si>
  <si>
    <t xml:space="preserve">FA229 </t>
  </si>
  <si>
    <t xml:space="preserve">FA229HH </t>
  </si>
  <si>
    <t>FA231</t>
  </si>
  <si>
    <t>FA231HH</t>
  </si>
  <si>
    <t xml:space="preserve">FA244HH </t>
  </si>
  <si>
    <t xml:space="preserve">FA252HH </t>
  </si>
  <si>
    <t xml:space="preserve">FA254HH </t>
  </si>
  <si>
    <t xml:space="preserve">SFA257/2 </t>
  </si>
  <si>
    <t xml:space="preserve">SFA260 </t>
  </si>
  <si>
    <t xml:space="preserve">FA261HH </t>
  </si>
  <si>
    <t xml:space="preserve">FA265HH </t>
  </si>
  <si>
    <t xml:space="preserve">FA266 </t>
  </si>
  <si>
    <t xml:space="preserve">FA266HH </t>
  </si>
  <si>
    <t xml:space="preserve">FA275HH </t>
  </si>
  <si>
    <t xml:space="preserve">FA275R  </t>
  </si>
  <si>
    <t xml:space="preserve">FA281HH </t>
  </si>
  <si>
    <t xml:space="preserve">FA294HH </t>
  </si>
  <si>
    <t xml:space="preserve">FA296HH </t>
  </si>
  <si>
    <t xml:space="preserve">FA304HH </t>
  </si>
  <si>
    <t xml:space="preserve">FA307R  </t>
  </si>
  <si>
    <t xml:space="preserve">FA319/2HH </t>
  </si>
  <si>
    <t xml:space="preserve">FA319HH </t>
  </si>
  <si>
    <t>SFA321</t>
  </si>
  <si>
    <t xml:space="preserve">FA322/4HH </t>
  </si>
  <si>
    <t xml:space="preserve">FA323R </t>
  </si>
  <si>
    <t xml:space="preserve">FA324 </t>
  </si>
  <si>
    <t xml:space="preserve">FA325X </t>
  </si>
  <si>
    <t xml:space="preserve">FA335HH </t>
  </si>
  <si>
    <t xml:space="preserve">FA344 </t>
  </si>
  <si>
    <t xml:space="preserve">FA346R </t>
  </si>
  <si>
    <t xml:space="preserve">FA346X </t>
  </si>
  <si>
    <t xml:space="preserve">FA347HH </t>
  </si>
  <si>
    <t xml:space="preserve">FA353 </t>
  </si>
  <si>
    <t xml:space="preserve">SFA353HH </t>
  </si>
  <si>
    <t xml:space="preserve">FA354R </t>
  </si>
  <si>
    <t xml:space="preserve">FA357R </t>
  </si>
  <si>
    <t xml:space="preserve">FA357X </t>
  </si>
  <si>
    <t xml:space="preserve">FA363HH </t>
  </si>
  <si>
    <t xml:space="preserve">FA366 </t>
  </si>
  <si>
    <t xml:space="preserve">FA367R </t>
  </si>
  <si>
    <t xml:space="preserve">FA367X </t>
  </si>
  <si>
    <t>FA368R</t>
  </si>
  <si>
    <t>FA368X</t>
  </si>
  <si>
    <t xml:space="preserve">FA369/4HH  </t>
  </si>
  <si>
    <t xml:space="preserve">FA377R </t>
  </si>
  <si>
    <t xml:space="preserve">FA379HH </t>
  </si>
  <si>
    <t xml:space="preserve">FA380HH  </t>
  </si>
  <si>
    <t xml:space="preserve">FA381HH </t>
  </si>
  <si>
    <t xml:space="preserve">FA387 </t>
  </si>
  <si>
    <t xml:space="preserve">FA387HH </t>
  </si>
  <si>
    <t xml:space="preserve">FA388HH  </t>
  </si>
  <si>
    <t xml:space="preserve">FA390HH </t>
  </si>
  <si>
    <t xml:space="preserve">FA400HH  </t>
  </si>
  <si>
    <t xml:space="preserve">FA407HH </t>
  </si>
  <si>
    <t xml:space="preserve">FA409HH </t>
  </si>
  <si>
    <t xml:space="preserve">FA413X </t>
  </si>
  <si>
    <t>FA414X</t>
  </si>
  <si>
    <t>FA419HH</t>
  </si>
  <si>
    <t xml:space="preserve">FA423/4HH </t>
  </si>
  <si>
    <t xml:space="preserve">FA428R </t>
  </si>
  <si>
    <t xml:space="preserve">FA432HH </t>
  </si>
  <si>
    <t xml:space="preserve">FA433/4 </t>
  </si>
  <si>
    <t>FA434HH</t>
  </si>
  <si>
    <t xml:space="preserve">FA436HH </t>
  </si>
  <si>
    <t xml:space="preserve">FA438HH </t>
  </si>
  <si>
    <t>FA442/4HH</t>
  </si>
  <si>
    <t xml:space="preserve">FA443X </t>
  </si>
  <si>
    <t xml:space="preserve">FA444X </t>
  </si>
  <si>
    <t xml:space="preserve">FA447HH </t>
  </si>
  <si>
    <t xml:space="preserve">FA450R </t>
  </si>
  <si>
    <t xml:space="preserve">FA450X  </t>
  </si>
  <si>
    <t>FA452R</t>
  </si>
  <si>
    <t xml:space="preserve">FA456R </t>
  </si>
  <si>
    <t xml:space="preserve">FA457HH </t>
  </si>
  <si>
    <t>FA458HH</t>
  </si>
  <si>
    <t xml:space="preserve">FA462R  </t>
  </si>
  <si>
    <t xml:space="preserve">FA463R </t>
  </si>
  <si>
    <t xml:space="preserve">FA468R  </t>
  </si>
  <si>
    <t xml:space="preserve">FA475R </t>
  </si>
  <si>
    <t xml:space="preserve">FA488HH </t>
  </si>
  <si>
    <t xml:space="preserve">FA491HH </t>
  </si>
  <si>
    <t xml:space="preserve">FA496HH </t>
  </si>
  <si>
    <t xml:space="preserve">FA499/4HH </t>
  </si>
  <si>
    <t xml:space="preserve">FA602R KTM85 </t>
  </si>
  <si>
    <t>FA604/4HH</t>
  </si>
  <si>
    <t xml:space="preserve">FA606HH </t>
  </si>
  <si>
    <t>FA612R</t>
  </si>
  <si>
    <t xml:space="preserve">FA617R </t>
  </si>
  <si>
    <t>FA618R</t>
  </si>
  <si>
    <t xml:space="preserve">FA631HH </t>
  </si>
  <si>
    <t xml:space="preserve">FA636HH </t>
  </si>
  <si>
    <t xml:space="preserve">FA638HH </t>
  </si>
  <si>
    <t xml:space="preserve">FA640HH </t>
  </si>
  <si>
    <t xml:space="preserve">FA641/4HH </t>
  </si>
  <si>
    <t xml:space="preserve">FA643HH </t>
  </si>
  <si>
    <t xml:space="preserve">SXR656HH  </t>
  </si>
  <si>
    <t xml:space="preserve">FA657R </t>
  </si>
  <si>
    <t xml:space="preserve">FA658 </t>
  </si>
  <si>
    <t xml:space="preserve">FA658HH </t>
  </si>
  <si>
    <t xml:space="preserve">FA662 </t>
  </si>
  <si>
    <t xml:space="preserve">FA662HH </t>
  </si>
  <si>
    <t xml:space="preserve">FA663HH </t>
  </si>
  <si>
    <t xml:space="preserve">FA679HH </t>
  </si>
  <si>
    <t xml:space="preserve">SXR682HH </t>
  </si>
  <si>
    <t xml:space="preserve">SXR683HH </t>
  </si>
  <si>
    <t xml:space="preserve">FA698 </t>
  </si>
  <si>
    <t xml:space="preserve">FA698HH </t>
  </si>
  <si>
    <t xml:space="preserve">FA704X </t>
  </si>
  <si>
    <t xml:space="preserve">FA724HH </t>
  </si>
  <si>
    <t>FA755R</t>
  </si>
  <si>
    <t>FA724HH</t>
  </si>
  <si>
    <t>FA16 DUCATI SPORT74(F)</t>
  </si>
  <si>
    <t>FA34 YAMAHA XS500-650-750-850-1100</t>
  </si>
  <si>
    <t>FA47HH DUCATIMONSTER,SUPERSPOR T,MULTIESTRA77- 05 R</t>
  </si>
  <si>
    <t>FA54X (F)CUADRONES 99-09 JAPONESES</t>
  </si>
  <si>
    <t>FA57 BMW (F) R45-R65- 78-85</t>
  </si>
  <si>
    <t>FA63HH SUSUKI GS500 GSX 600 91-03</t>
  </si>
  <si>
    <t>FA67R JAPONESAS YKTM ANTIGUAS (F) (P)</t>
  </si>
  <si>
    <t>FA84R RAPTOR - CRF150 R - ATC HONDA</t>
  </si>
  <si>
    <t>FA85HH  KAWASAKIVULCAN</t>
  </si>
  <si>
    <t>FA88HH YAMAHA FZR1000 /GTS1000/VSTAR 1100</t>
  </si>
  <si>
    <t>FA94HH HARLEYDAVIDSON (F) 84-05</t>
  </si>
  <si>
    <t>FA101X YAMAHAXT600 90-95</t>
  </si>
  <si>
    <t>FA111R  HONDA  (R)FL350R ODYSSEY FL400 PILOT 85-90</t>
  </si>
  <si>
    <t>FA119R YAMAHA YZ85</t>
  </si>
  <si>
    <t>FA119X YAMAHA YZ8502-08 TTR 125 (F)</t>
  </si>
  <si>
    <t>FA123HH YAMAHAFZR400/1000/FJ1200/ XVZ1300/ XV1700 0</t>
  </si>
  <si>
    <t>FA129HH KAWASAKIZX 6 88-96 ZX7 87-90 ZX 100 88-95 GSX 91-93</t>
  </si>
  <si>
    <t>FA130R KLM 650 87-07</t>
  </si>
  <si>
    <t>FA130X   KLR 65087-07 FRONTAL</t>
  </si>
  <si>
    <t>FA131r (P) XR - KX -RM - DRZ - YZ - GAS GAS</t>
  </si>
  <si>
    <t>FA131X (P) XR - KX -RM - DRZ - YZ - GAS GAS</t>
  </si>
  <si>
    <t>FA135R JAPONESASVIEJAS (F)</t>
  </si>
  <si>
    <t>FA135X  XR, DR,YZ,WR, TTR , KDX  LTR JAPONESAS   (F)</t>
  </si>
  <si>
    <t>FA137X SUSUKI ATVLTZ 400-450-500 (R) 03-10</t>
  </si>
  <si>
    <t>FA140HH SUZUKIFREEWIND POSTERIOR</t>
  </si>
  <si>
    <t>FA142HH VERSIS 650NUEVA F/ TRIUMPH</t>
  </si>
  <si>
    <t>FA147X SUZUKI DR650 90-94(F)</t>
  </si>
  <si>
    <t>FA150HH SUZUKIGV1400 R</t>
  </si>
  <si>
    <t>FA152R JAPONESASVIEJAS (P)</t>
  </si>
  <si>
    <t>FA152X JAPONESASDIRT ANTIGUAS KDX, DR (R) 89/97</t>
  </si>
  <si>
    <t>FA157X SUZUKI DR650 (R)</t>
  </si>
  <si>
    <t>FA158HH  KAWASAKIZX600-750-900- SUZUKI BANDIT 90- 08</t>
  </si>
  <si>
    <t>FA159R POLARISFRONT</t>
  </si>
  <si>
    <t>FA161HH KAWASAKIZX R 750-1100-1200 (R) 89-05</t>
  </si>
  <si>
    <t>FA165X ATVKAWA/SUZU/YAMA F RIGHT 89-08</t>
  </si>
  <si>
    <t>FA171  BMW R80-100-75 RT/RS 88-02 (F)</t>
  </si>
  <si>
    <t>FA172X  YAMAHA XT600 90-95 (F)</t>
  </si>
  <si>
    <t>FA174HH CBR SV -YZFR6  (P)</t>
  </si>
  <si>
    <t>FA179HH YAMAHAXJ600/XVS 650 /1300V STAR 92/07 (F)</t>
  </si>
  <si>
    <t>FA181HH KTMADVENTURE POSTERIOR</t>
  </si>
  <si>
    <t>FA181R    FRONTALEUROPEAS KTM HUSQVARNA</t>
  </si>
  <si>
    <t>FA181X FRONTALEUROPEAS KTN HUSQ</t>
  </si>
  <si>
    <t>FA185R (F)JAPONESAS</t>
  </si>
  <si>
    <t>FA185X (F)JAPONESAS</t>
  </si>
  <si>
    <t>FA188HH FRONTSUZUKI / KAWA GSX94-02 /ZX98-08</t>
  </si>
  <si>
    <t>FA192HH KAWASAKIZX - 6-11 (P)</t>
  </si>
  <si>
    <t>FA194HH APRILIA ,GAS GAS ,VESPA, PIAGIO F&amp;R</t>
  </si>
  <si>
    <t>FA196HH  HONDA VFR750/CBR 1000F VTX 1300</t>
  </si>
  <si>
    <t>FA197 PASTILLASCARBON  KLR 650 (P)</t>
  </si>
  <si>
    <t>FA197HH KAWASAKIKLR 650 08-UP (F)</t>
  </si>
  <si>
    <t>FA199HH YAMAHAFZ6/ XVS</t>
  </si>
  <si>
    <t>FA200HH HARLEYDAVIDSON (R) 87-99</t>
  </si>
  <si>
    <t>FA201HH HARLEYDAVIDSON 86-99 (R)</t>
  </si>
  <si>
    <t>FA208R KTM -HUSABERG VIEJAS (P)</t>
  </si>
  <si>
    <t>FA209/2HH BMW 650, DUCATI KTM - 950- 990 (F)</t>
  </si>
  <si>
    <t>FA213HH BMW 99-08DUCATI 06-08 (P)</t>
  </si>
  <si>
    <t>FA226HH TRIUMPHTIGER 800</t>
  </si>
  <si>
    <t>FA228 PASTILLASCARBON  KLR 650 (F)</t>
  </si>
  <si>
    <t>FA228HH KLRKAWASAKI 650 08 (F)</t>
  </si>
  <si>
    <t>FA229 KAWASAKIVERSIS, SUSUKI GSX 650 98-06 V-ESTR</t>
  </si>
  <si>
    <t>FA229HH KAWASAKIVERSIS, SUSUKI GSX 650 98-06 V-ESTROM 07-08</t>
  </si>
  <si>
    <t>FA231HH KAWASAKISTREET SUSUKI STREET (F)</t>
  </si>
  <si>
    <t>FA244HH DUCATI -KTM DUKE SM</t>
  </si>
  <si>
    <t>FA252HH (F) YAMAHAFZR 400/YZF600/ YZF R1XV1700 / XV</t>
  </si>
  <si>
    <t>FA254HH KAWAZX7RR, CONCOURS14,GSXR 96-08 -01-06 (R)</t>
  </si>
  <si>
    <t>SFA257/2 APRILLIA/BMW/PIAGGIO SCOOTERS</t>
  </si>
  <si>
    <t>SFA260 VESPA/PIAGGIO/SCOOTERS</t>
  </si>
  <si>
    <t>FA261HH HONDACBR1100, VFR800, GL1800 VTX1800 96- 10</t>
  </si>
  <si>
    <t>FA265HH HONDA CBR900RR/929/954 RVT1000 (F)</t>
  </si>
  <si>
    <t>FA266 APRILIA -DUCATI</t>
  </si>
  <si>
    <t>FA266HH DUCATI (P)APRILIA (P)</t>
  </si>
  <si>
    <t>FA275HH YAMAHA XT225-250 01-08 YZF600-1000R1</t>
  </si>
  <si>
    <t>FA275R  YAMAHAXT250</t>
  </si>
  <si>
    <t>FA281HH HONDA CB600 04 R CBR 600 05R BTX 1300 R 05R</t>
  </si>
  <si>
    <t>FA294HH BMWR850/1100/1150/120 0 01/ 10 (F)</t>
  </si>
  <si>
    <t>FA296HH CBR 600 F4/RR 99-06</t>
  </si>
  <si>
    <t>FA304HH  BMWR1200CL-K1200LT- R1200C 97-07 (R)</t>
  </si>
  <si>
    <t>FA307R  YAMAHA YFM400-450 00-08 (R) BOMBARDIER</t>
  </si>
  <si>
    <t>FA319/2HH FJR 1300YAMAHA PRESIDENCIA (P)</t>
  </si>
  <si>
    <t>FA319HH YAMAHA FJ1300, VX1700-1900 (R)</t>
  </si>
  <si>
    <t>FA322/4HH DUCATI -KTM 990- HUSQ 450 (F)</t>
  </si>
  <si>
    <t>FA323R TYAMAHA ATVYFZ 450 06-08 (R)</t>
  </si>
  <si>
    <t>FA325X KTM 50 SX02-08 F&amp;R - 65 SX 04-08</t>
  </si>
  <si>
    <t>FA335HH BMW 850 -1100-1200 (F)</t>
  </si>
  <si>
    <t>FA344 YAMAHAYFM660 GRIZZLY 02- 08 (R)</t>
  </si>
  <si>
    <t>FA346R HONDA CRFTODAS (P)</t>
  </si>
  <si>
    <t>FA346X HONDA CSRTODAS (P)</t>
  </si>
  <si>
    <t>FA347HH KAWA ZX9RZ1000 -GSX1300  03- 08 (F)</t>
  </si>
  <si>
    <t>FA353 PIAGGIOBEVERLY 250-300 05- 2010</t>
  </si>
  <si>
    <t>SFA353HH PIAGGIO300</t>
  </si>
  <si>
    <t>FA354R POLARIS800/570/1000 F/R 04/15</t>
  </si>
  <si>
    <t>FA357X KTM SX 65,85  02-08 F&amp;R</t>
  </si>
  <si>
    <t>FA363HH TODAS BMW(P)</t>
  </si>
  <si>
    <t>FA366 SUZUKIVL1500 INTRUDER 02-08</t>
  </si>
  <si>
    <t>FA367R YZ 2003-2008KX 04-08 SUSUKI 04- 08 (P)</t>
  </si>
  <si>
    <t>FA367X YZ 2003-2008KX 04-08 SUSUKI 04- 08 (P)</t>
  </si>
  <si>
    <t>FA368R HUSQ - KYM(P)</t>
  </si>
  <si>
    <t>FA368X HUSQ - KTM(R)</t>
  </si>
  <si>
    <t>FA369/4HH  FRONTKAWASAKI ZX6 03-06 SUZU GSXR 1000 0</t>
  </si>
  <si>
    <t>FA377R KAWASAKITERYX (R)</t>
  </si>
  <si>
    <t>FA379HH FRONTSUZUKI GSXR 600/750/1000/1300 / BOULEV</t>
  </si>
  <si>
    <t>FA380HH  YAMAHAYZF -R6 05-07 /YZF R1 06 -08</t>
  </si>
  <si>
    <t>FA381HH HARLEYDAVIDSON XL 883- XL1200 04-10 (F)</t>
  </si>
  <si>
    <t>FA387 HARLEYSPORSTER R</t>
  </si>
  <si>
    <t>FA387HH HARLEYDAVIDSON XL883- XL1200 (R) 04-10</t>
  </si>
  <si>
    <t>FA388HH  HONDAVFR800/ SUZUKI BOULEVARD 1800</t>
  </si>
  <si>
    <t>FA390HH FRONT CBR600RR-1000RR 04-08</t>
  </si>
  <si>
    <t>FA400HH  HARLEYDAVIDSON</t>
  </si>
  <si>
    <t>FA407HH  BMW R80-100-850-1100-1150- 1200 -K100 -</t>
  </si>
  <si>
    <t>FA409HH HARLEYDAVIDSON V ROD, STREET GLIDE ELECTRA</t>
  </si>
  <si>
    <t>FA413X SUZUKI KLTF400-LT-A450 F LEFTH 07-08</t>
  </si>
  <si>
    <t>FA414X SUZUKIKLTF400  - LT-A 450 07-08 F RIGHT</t>
  </si>
  <si>
    <t>FA417-4HHKAWASAKI (F) ZX6R /Z1000/CONCOURS 14</t>
  </si>
  <si>
    <t>FA419HH SUZUKIGSXR 600-750-1000- 1300 06-10 (R)</t>
  </si>
  <si>
    <t>FA423/4HH FJR 1300YAMAHA PRESIDENCIA (F)</t>
  </si>
  <si>
    <t>FA428R YAMAHAYFM700 06/11 (R)</t>
  </si>
  <si>
    <t>FA432HH APRILLIASHIVER 750 08-10/ DORSODURO/ MANA 850</t>
  </si>
  <si>
    <t>FA433/4 HUSABERG570 SUPERMOTO FRONTAL 10-11</t>
  </si>
  <si>
    <t>FA433/4HHHUSABERG SUPERMOTO  570 FRONT</t>
  </si>
  <si>
    <t>FA434HH HARLEYDAVIDSON SOFTAIL,HERITAGE 06-07 (R)</t>
  </si>
  <si>
    <t>FA436HH  POSTERIORHONDA CBR 600RR 07-08 /1000RR 06/</t>
  </si>
  <si>
    <t>FA438HH  BMW K1200 GT 06-10 (R)</t>
  </si>
  <si>
    <t>FA442/4HH FRONTALYAMAHA YZF -A  6 PISTON CALIPER</t>
  </si>
  <si>
    <t>FA443X YAMAHA YFM250/550/700 07-11 (F) LEFT</t>
  </si>
  <si>
    <t>FA444X YAMAHA YFM250/550/700 (F) RIGHT</t>
  </si>
  <si>
    <t>FA447HH APRILLIA,DUCATI, HUSQVARNA , KTM  (F)</t>
  </si>
  <si>
    <t>FA450R YAMAHAYX125 - 250-450 07- 2010 (F)</t>
  </si>
  <si>
    <t>FA450X  YAMAHAYX125 - 250-450 07- 2010 (F)</t>
  </si>
  <si>
    <t>FA452R POLARIS800/900/500 F/R 10- 15</t>
  </si>
  <si>
    <t>FA456R  POLARIS RZR800/900 08-15</t>
  </si>
  <si>
    <t>FA457HH HARLEYDAVIDSON SUPERGLIDE, LOW RIDER(F)08-1</t>
  </si>
  <si>
    <t>FA458HH HARLEYDAVIDSON  08-10 (R)</t>
  </si>
  <si>
    <t>FA462R  KTM ATVXC450 -XC525 08-10 (F)</t>
  </si>
  <si>
    <t>FA463R KTM ATVXC450 - XC 525  (R) 08-10</t>
  </si>
  <si>
    <t>FA468R  CAN AMSPIDER</t>
  </si>
  <si>
    <t>FA475R POLARIS 800-1000 F&amp;R</t>
  </si>
  <si>
    <t>FA488HH CB100R-VFR800-1200 R</t>
  </si>
  <si>
    <t>FA491HH TRIUMPH675 DAYTONA 09-13 FRONTAL</t>
  </si>
  <si>
    <t>FA496HH HONDA CBR250 11/14 R  CBR300 15 VERSYS 650</t>
  </si>
  <si>
    <t>FA499/4HH VFR1200F / 2010-2014</t>
  </si>
  <si>
    <t>FA602R KTM85 2014POSTERIOR</t>
  </si>
  <si>
    <t>FA604/4HH BMW1000NAKED</t>
  </si>
  <si>
    <t>FA606HH KTM DUKE200/390</t>
  </si>
  <si>
    <t>FA612R PASTILLASKTM 350-85 12/14 FRONT</t>
  </si>
  <si>
    <t>FA617R CAN AM13/14 FRONTAL</t>
  </si>
  <si>
    <t>FA618R CAN AMFRONTAL 13/14 IZQUIERDA FRONTAL</t>
  </si>
  <si>
    <t>FA630HHAPRILLIA/BMW/DUCA TI 13/14</t>
  </si>
  <si>
    <t>FA631HH CAN AMSPYDER</t>
  </si>
  <si>
    <t>FA636HH HONDAVFR1200 R 10-14</t>
  </si>
  <si>
    <t>FA638HH HARLEYDAVIDSON FREEWHELLER TRIKE 14-15 F</t>
  </si>
  <si>
    <t>FA640HH HARLEYDAVIDSON 883-1200 2014 (F)</t>
  </si>
  <si>
    <t>FA641/4HH HARLEYDAVIDSON FREEWHELLER TRIKE 15 (R)</t>
  </si>
  <si>
    <t>FA643HH HARLEYDAVIDSON XG500- 750 F&amp;R</t>
  </si>
  <si>
    <t>SXR656HH  POLARISRZR XP TURBO REAR</t>
  </si>
  <si>
    <t>FA657R POLARIS RZR900 15R</t>
  </si>
  <si>
    <t>FA662 YAMAHA YZFR3 15-UP (R)</t>
  </si>
  <si>
    <t>FA662HH YAMAHA YZFR3 REAR</t>
  </si>
  <si>
    <t>FA663HH YAMAHA YZFR3 FRONT</t>
  </si>
  <si>
    <t>FA679HH AFRICATWIN 1000 NEW</t>
  </si>
  <si>
    <t>SXR682HH CAN AMDEFENDER F LEFT</t>
  </si>
  <si>
    <t>SXR683HH CAN AMDEFENDER F RIGHT</t>
  </si>
  <si>
    <t>FA704X  HONDA SXS1000 (REAR RIGHT)</t>
  </si>
  <si>
    <t>FA755R YAMAHAYZF250 FRONT</t>
  </si>
  <si>
    <t>EBC</t>
  </si>
  <si>
    <t>Scoot</t>
  </si>
  <si>
    <t>Twist</t>
  </si>
  <si>
    <t>TWW001</t>
  </si>
  <si>
    <t>TWW002</t>
  </si>
  <si>
    <t>TWW003</t>
  </si>
  <si>
    <t>TWW004</t>
  </si>
  <si>
    <t>ENLLANTAJE Y BALANCEO</t>
  </si>
  <si>
    <t>MANTENIMIENTO</t>
  </si>
  <si>
    <t>SERVICIO</t>
  </si>
  <si>
    <t>VARIOS</t>
  </si>
  <si>
    <t>04345X2111</t>
  </si>
  <si>
    <t>LUBRICANTE DE CADENAS 4X FORMULA DE ALTO RENDIMIENTO</t>
  </si>
  <si>
    <t>LUBRICANTE</t>
  </si>
  <si>
    <t>ROCKS</t>
  </si>
  <si>
    <t>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</si>
</sst>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Segoe UI"/>
      <family val="2"/>
      <scheme val="minor"/>
    </font>
    <font>
      <sz val="6"/>
      <name val="Yu Gothic"/>
      <family val="2"/>
      <charset val="128"/>
    </font>
    <font>
      <sz val="12"/>
      <color theme="1"/>
      <name val="Montserrat"/>
      <family val="34"/>
      <charset val="77"/>
    </font>
    <font>
      <sz val="12"/>
      <color theme="1"/>
      <name val="Montserrat"/>
      <charset val="77"/>
    </font>
    <font>
      <sz val="12"/>
      <color rgb="FF000000"/>
      <name val="Calibri"/>
    </font>
    <font>
      <b/>
      <sz val="12"/>
      <color theme="1"/>
      <name val="Montserrat"/>
      <charset val="77"/>
    </font>
    <font>
      <sz val="12"/>
      <color rgb="FF171923"/>
      <name val="Montserrat"/>
      <charset val="77"/>
    </font>
    <font>
      <sz val="8"/>
      <color theme="1"/>
      <name val="Montserrat"/>
      <charset val="77"/>
    </font>
    <font>
      <b/>
      <sz val="8"/>
      <color theme="1"/>
      <name val="Montserrat"/>
      <charset val="77"/>
    </font>
    <font>
      <sz val="8"/>
      <color theme="1"/>
      <name val="Segoe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2" fontId="3" fillId="2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2" fontId="3" fillId="3" borderId="2" xfId="0" applyNumberFormat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left"/>
    </xf>
    <xf numFmtId="1" fontId="3" fillId="3" borderId="3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2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left"/>
    </xf>
    <xf numFmtId="1" fontId="3" fillId="4" borderId="3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2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/>
    </xf>
    <xf numFmtId="1" fontId="5" fillId="2" borderId="3" xfId="0" applyNumberFormat="1" applyFont="1" applyFill="1" applyBorder="1" applyAlignment="1">
      <alignment horizontal="left"/>
    </xf>
    <xf numFmtId="0" fontId="0" fillId="0" borderId="0" xfId="0" applyFill="1"/>
    <xf numFmtId="0" fontId="5" fillId="4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1" xfId="0" applyNumberFormat="1" applyFont="1" applyFill="1" applyBorder="1" applyAlignment="1">
      <alignment horizontal="left"/>
    </xf>
    <xf numFmtId="0" fontId="3" fillId="4" borderId="2" xfId="0" applyNumberFormat="1" applyFont="1" applyFill="1" applyBorder="1" applyAlignment="1">
      <alignment horizontal="left"/>
    </xf>
    <xf numFmtId="0" fontId="3" fillId="4" borderId="4" xfId="0" applyNumberFormat="1" applyFont="1" applyFill="1" applyBorder="1" applyAlignment="1">
      <alignment horizontal="left"/>
    </xf>
    <xf numFmtId="0" fontId="3" fillId="4" borderId="5" xfId="0" applyNumberFormat="1" applyFont="1" applyFill="1" applyBorder="1" applyAlignment="1">
      <alignment horizontal="left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NumberFormat="1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wrapText="1"/>
    </xf>
    <xf numFmtId="0" fontId="0" fillId="0" borderId="0" xfId="0" applyFont="1" applyFill="1"/>
    <xf numFmtId="0" fontId="3" fillId="0" borderId="1" xfId="0" applyNumberFormat="1" applyFont="1" applyFill="1" applyBorder="1" applyAlignment="1">
      <alignment horizontal="left"/>
    </xf>
    <xf numFmtId="0" fontId="3" fillId="0" borderId="2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2" borderId="0" xfId="0" applyNumberFormat="1" applyFont="1" applyFill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2" xfId="0" applyNumberFormat="1" applyFont="1" applyFill="1" applyBorder="1" applyAlignment="1">
      <alignment horizontal="center"/>
    </xf>
    <xf numFmtId="0" fontId="3" fillId="4" borderId="3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5" xfId="0" applyNumberFormat="1" applyFont="1" applyFill="1" applyBorder="1" applyAlignment="1">
      <alignment horizontal="center"/>
    </xf>
    <xf numFmtId="0" fontId="3" fillId="4" borderId="6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4" borderId="2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7" fillId="4" borderId="5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z val="12"/>
        <name val="Montserrat"/>
        <charset val="77"/>
        <scheme val="none"/>
      </font>
      <numFmt numFmtId="0" formatCode="General"/>
      <fill>
        <patternFill patternType="solid">
          <fgColor theme="8" tint="0.59999389629810485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z val="8"/>
        <name val="Montserrat"/>
        <charset val="77"/>
        <scheme val="none"/>
      </font>
      <numFmt numFmtId="0" formatCode="General"/>
      <fill>
        <patternFill patternType="solid">
          <fgColor theme="8" tint="0.59999389629810485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z val="12"/>
        <name val="Montserrat"/>
        <charset val="77"/>
        <scheme val="none"/>
      </font>
      <numFmt numFmtId="0" formatCode="General"/>
      <fill>
        <patternFill patternType="solid">
          <fgColor theme="8" tint="0.59999389629810485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z val="12"/>
        <name val="Montserrat"/>
        <charset val="77"/>
        <scheme val="none"/>
      </font>
      <numFmt numFmtId="0" formatCode="General"/>
      <fill>
        <patternFill patternType="solid">
          <fgColor theme="8" tint="0.59999389629810485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z val="12"/>
        <name val="Montserrat"/>
        <charset val="77"/>
        <scheme val="none"/>
      </font>
      <numFmt numFmtId="0" formatCode="General"/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z val="12"/>
        <name val="Montserrat"/>
        <charset val="77"/>
        <scheme val="none"/>
      </font>
      <numFmt numFmtId="0" formatCode="General"/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z val="12"/>
        <name val="Montserrat"/>
        <charset val="77"/>
        <scheme val="none"/>
      </font>
      <fill>
        <patternFill patternType="solid">
          <fgColor theme="8" tint="0.59999389629810485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numFmt numFmtId="165" formatCode="#,##0.00\ &quot;€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u val="none"/>
        <sz val="12"/>
        <color theme="1"/>
        <name val="Montserrat"/>
        <charset val="77"/>
        <scheme val="none"/>
      </font>
      <numFmt numFmtId="0" formatCode="General"/>
      <alignment horizontal="left" vertical="center"/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z val="12"/>
        <name val="Montserrat"/>
        <charset val="77"/>
        <scheme val="none"/>
      </font>
      <numFmt numFmtId="0" formatCode="General"/>
      <alignment horizontal="left"/>
    </dxf>
  </dxfs>
  <tableStyles count="0" defaultTableStyle="TableStyleMedium2" defaultPivotStyle="PivotStyleLight16"/>
  <colors>
    <mruColors>
      <color rgb="FF95B3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1352550</xdr:colOff>
      <xdr:row>1</xdr:row>
      <xdr:rowOff>857249</xdr:rowOff>
    </xdr:from>
    <xdr:to>
      <xdr:col>6</xdr:col>
      <xdr:colOff>1057275</xdr:colOff>
      <xdr:row>1</xdr:row>
      <xdr:rowOff>1724024</xdr:rowOff>
    </xdr:to>
    <xdr:sp macro="" textlink="">
      <xdr:nvSpPr>
        <xdr:cNvPr id="9" name="Cuadro de texto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 txBox="1"/>
      </xdr:nvSpPr>
      <xdr:spPr>
        <a:xfrm>
          <a:off x="4333875" y="1438274"/>
          <a:ext cx="2438400" cy="86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0"/>
          <a:r>
            <a:rPr lang="en-US" sz="1400" b="1">
              <a:solidFill>
                <a:schemeClr val="tx1">
                  <a:lumMod val="85000"/>
                  <a:lumOff val="15000"/>
                </a:schemeClr>
              </a:solidFill>
              <a:latin typeface="+mn-lt"/>
              <a:cs typeface="Segoe UI" panose="020B0502040204020203" pitchFamily="34" charset="0"/>
            </a:rPr>
            <a:t>TWW</a:t>
          </a:r>
          <a:endParaRPr lang="es" sz="1400" b="1">
            <a:solidFill>
              <a:schemeClr val="tx1">
                <a:lumMod val="85000"/>
                <a:lumOff val="15000"/>
              </a:schemeClr>
            </a:solidFill>
            <a:latin typeface="+mn-lt"/>
            <a:cs typeface="Segoe UI" panose="020B0502040204020203" pitchFamily="34" charset="0"/>
          </a:endParaRPr>
        </a:p>
        <a:p>
          <a:pPr algn="r" rtl="0"/>
          <a:r>
            <a:rPr lang="en-US" sz="90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QUICENTRO NORTE</a:t>
          </a:r>
          <a:endParaRPr lang="es" sz="900">
            <a:solidFill>
              <a:schemeClr val="tx2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  <a:p>
          <a:pPr algn="r" rtl="0"/>
          <a:r>
            <a:rPr lang="en-US" sz="90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Jose Correa E10-243</a:t>
          </a:r>
          <a:endParaRPr lang="es" sz="900">
            <a:solidFill>
              <a:schemeClr val="tx2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  <a:p>
          <a:pPr algn="r" rtl="0"/>
          <a:r>
            <a:rPr lang="en-US" sz="90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0959491417</a:t>
          </a:r>
          <a:endParaRPr lang="es" sz="900">
            <a:solidFill>
              <a:schemeClr val="tx2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  <a:p>
          <a:pPr algn="r" rtl="0"/>
          <a:endParaRPr lang="en-US" sz="900"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31749</xdr:colOff>
      <xdr:row>0</xdr:row>
      <xdr:rowOff>311897</xdr:rowOff>
    </xdr:from>
    <xdr:to>
      <xdr:col>1</xdr:col>
      <xdr:colOff>1985471</xdr:colOff>
      <xdr:row>1</xdr:row>
      <xdr:rowOff>642409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E7098575-4FA8-7043-8F64-B0AD23E4C7F8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4" y="311897"/>
          <a:ext cx="1951182" cy="9147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3:G767" headerRowDxfId="14" dataDxfId="6" totalsRowDxfId="13">
  <tableColumns count="6">
    <tableColumn id="1" xr3:uid="{00000000-0010-0000-0000-000001000000}" name="CODIGO" totalsRowLabel="Total" dataDxfId="5" totalsRowDxfId="12"/>
    <tableColumn id="2" xr3:uid="{00000000-0010-0000-0000-000002000000}" name="DESCRIPCION" dataDxfId="4" totalsRowDxfId="11"/>
    <tableColumn id="6" xr3:uid="{90C2F0FE-E68F-F44A-AE57-F64C0975B567}" name="APLICACIÓN " dataDxfId="1" totalsRowDxfId="10"/>
    <tableColumn id="3" xr3:uid="{00000000-0010-0000-0000-000003000000}" name="COMPRA" dataDxfId="0" totalsRowDxfId="9"/>
    <tableColumn id="4" xr3:uid="{00000000-0010-0000-0000-000004000000}" name="PVP" dataDxfId="3" totalsRowDxfId="8"/>
    <tableColumn id="5" xr3:uid="{00000000-0010-0000-0000-000005000000}" name="EFECTIVO" totalsRowFunction="sum" dataDxfId="2" totalsRowDxfId="7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3">
      <a:majorFont>
        <a:latin typeface="Impact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67"/>
  <sheetViews>
    <sheetView showGridLines="0" tabSelected="1" topLeftCell="B211" zoomScaleNormal="100" workbookViewId="0">
      <selection activeCell="F328" sqref="F328:F329"/>
    </sheetView>
  </sheetViews>
  <sheetFormatPr defaultColWidth="8.9765625" defaultRowHeight="15" x14ac:dyDescent="0.2"/>
  <cols>
    <col min="1" max="1" width="1.640625" style="1" customWidth="1"/>
    <col min="2" max="2" width="35.91796875" style="1" bestFit="1" customWidth="1"/>
    <col min="3" max="3" width="82.0859375" style="1" bestFit="1" customWidth="1"/>
    <col min="4" max="4" width="20.61328125" style="44" customWidth="1"/>
    <col min="5" max="5" width="13.15234375" style="1" customWidth="1"/>
    <col min="6" max="6" width="9.98828125" style="44" customWidth="1"/>
    <col min="7" max="7" width="12.39453125" style="44" customWidth="1"/>
    <col min="8" max="8" width="1.640625" style="1" customWidth="1"/>
    <col min="9" max="10" width="16.8203125" style="36" customWidth="1"/>
    <col min="11" max="11" width="8.9765625" style="36" bestFit="1" customWidth="1"/>
    <col min="12" max="13" width="8.9765625" style="36"/>
    <col min="14" max="16384" width="8.9765625" style="1"/>
  </cols>
  <sheetData>
    <row r="1" spans="2:13" ht="45.75" customHeight="1" x14ac:dyDescent="0.2">
      <c r="I1" s="1"/>
      <c r="J1" s="1"/>
      <c r="K1" s="1"/>
      <c r="L1" s="1"/>
      <c r="M1" s="1"/>
    </row>
    <row r="2" spans="2:13" ht="140.1" customHeight="1" x14ac:dyDescent="0.2">
      <c r="B2" s="1" t="s">
        <v>0</v>
      </c>
    </row>
    <row r="3" spans="2:13" ht="35.25" customHeight="1" x14ac:dyDescent="0.2">
      <c r="B3" s="2" t="s">
        <v>18</v>
      </c>
      <c r="C3" s="2" t="s">
        <v>17</v>
      </c>
      <c r="D3" s="45" t="s">
        <v>16</v>
      </c>
      <c r="E3" s="45" t="s">
        <v>969</v>
      </c>
      <c r="F3" s="45" t="s">
        <v>20</v>
      </c>
      <c r="G3" s="45" t="s">
        <v>21</v>
      </c>
    </row>
    <row r="4" spans="2:13" ht="35.25" customHeight="1" x14ac:dyDescent="0.2">
      <c r="B4" s="5"/>
      <c r="C4" s="6" t="s">
        <v>1</v>
      </c>
      <c r="D4" s="68"/>
      <c r="E4" s="78"/>
      <c r="F4" s="46"/>
      <c r="G4" s="47"/>
    </row>
    <row r="5" spans="2:13" x14ac:dyDescent="0.2">
      <c r="B5" s="11" t="s">
        <v>4</v>
      </c>
      <c r="C5" s="12" t="s">
        <v>2</v>
      </c>
      <c r="D5" s="69" t="s">
        <v>23</v>
      </c>
      <c r="E5" s="79">
        <v>44.85</v>
      </c>
      <c r="F5" s="48">
        <v>65</v>
      </c>
      <c r="G5" s="49">
        <v>60</v>
      </c>
    </row>
    <row r="6" spans="2:13" x14ac:dyDescent="0.2">
      <c r="B6" s="16" t="s">
        <v>3</v>
      </c>
      <c r="C6" s="17" t="s">
        <v>2</v>
      </c>
      <c r="D6" s="70" t="s">
        <v>23</v>
      </c>
      <c r="E6" s="80">
        <v>44.56</v>
      </c>
      <c r="F6" s="50">
        <v>65</v>
      </c>
      <c r="G6" s="51">
        <v>60</v>
      </c>
    </row>
    <row r="7" spans="2:13" x14ac:dyDescent="0.2">
      <c r="B7" s="11">
        <v>40080276</v>
      </c>
      <c r="C7" s="12" t="s">
        <v>5</v>
      </c>
      <c r="D7" s="69" t="s">
        <v>23</v>
      </c>
      <c r="E7" s="79">
        <v>30.48</v>
      </c>
      <c r="F7" s="48">
        <v>45</v>
      </c>
      <c r="G7" s="49">
        <v>40</v>
      </c>
    </row>
    <row r="8" spans="2:13" x14ac:dyDescent="0.2">
      <c r="B8" s="16">
        <v>40080201</v>
      </c>
      <c r="C8" s="17" t="s">
        <v>6</v>
      </c>
      <c r="D8" s="70" t="s">
        <v>23</v>
      </c>
      <c r="E8" s="80">
        <v>47.15</v>
      </c>
      <c r="F8" s="50">
        <v>70</v>
      </c>
      <c r="G8" s="51">
        <v>66</v>
      </c>
    </row>
    <row r="9" spans="2:13" x14ac:dyDescent="0.2">
      <c r="B9" s="11">
        <v>40080277</v>
      </c>
      <c r="C9" s="12" t="s">
        <v>7</v>
      </c>
      <c r="D9" s="69" t="s">
        <v>23</v>
      </c>
      <c r="E9" s="79">
        <v>37.72</v>
      </c>
      <c r="F9" s="48">
        <v>53</v>
      </c>
      <c r="G9" s="49">
        <v>48</v>
      </c>
    </row>
    <row r="10" spans="2:13" x14ac:dyDescent="0.2">
      <c r="B10" s="16">
        <v>40080231</v>
      </c>
      <c r="C10" s="17" t="s">
        <v>8</v>
      </c>
      <c r="D10" s="70" t="s">
        <v>23</v>
      </c>
      <c r="E10" s="80">
        <v>57.5</v>
      </c>
      <c r="F10" s="50">
        <v>85</v>
      </c>
      <c r="G10" s="51">
        <v>80</v>
      </c>
    </row>
    <row r="11" spans="2:13" x14ac:dyDescent="0.2">
      <c r="B11" s="11">
        <v>40080242</v>
      </c>
      <c r="C11" s="12" t="s">
        <v>9</v>
      </c>
      <c r="D11" s="69" t="s">
        <v>23</v>
      </c>
      <c r="E11" s="79">
        <v>56.35</v>
      </c>
      <c r="F11" s="48">
        <v>80</v>
      </c>
      <c r="G11" s="49">
        <v>76</v>
      </c>
    </row>
    <row r="12" spans="2:13" x14ac:dyDescent="0.2">
      <c r="B12" s="16">
        <v>40080203</v>
      </c>
      <c r="C12" s="17" t="s">
        <v>9</v>
      </c>
      <c r="D12" s="70" t="s">
        <v>23</v>
      </c>
      <c r="E12" s="80">
        <v>56.35</v>
      </c>
      <c r="F12" s="50">
        <v>80</v>
      </c>
      <c r="G12" s="51">
        <v>76</v>
      </c>
    </row>
    <row r="13" spans="2:13" x14ac:dyDescent="0.2">
      <c r="B13" s="11">
        <v>40080204</v>
      </c>
      <c r="C13" s="12" t="s">
        <v>10</v>
      </c>
      <c r="D13" s="69" t="s">
        <v>23</v>
      </c>
      <c r="E13" s="79">
        <v>57.5</v>
      </c>
      <c r="F13" s="48">
        <v>85</v>
      </c>
      <c r="G13" s="49">
        <v>78</v>
      </c>
    </row>
    <row r="14" spans="2:13" x14ac:dyDescent="0.2">
      <c r="B14" s="16">
        <v>40080212</v>
      </c>
      <c r="C14" s="17" t="s">
        <v>10</v>
      </c>
      <c r="D14" s="70" t="s">
        <v>23</v>
      </c>
      <c r="E14" s="80">
        <v>57.5</v>
      </c>
      <c r="F14" s="50">
        <v>85</v>
      </c>
      <c r="G14" s="51">
        <v>78</v>
      </c>
    </row>
    <row r="15" spans="2:13" x14ac:dyDescent="0.2">
      <c r="B15" s="11">
        <v>40080219</v>
      </c>
      <c r="C15" s="12" t="s">
        <v>11</v>
      </c>
      <c r="D15" s="69" t="s">
        <v>23</v>
      </c>
      <c r="E15" s="79">
        <v>59.23</v>
      </c>
      <c r="F15" s="48">
        <v>85</v>
      </c>
      <c r="G15" s="49">
        <v>80</v>
      </c>
    </row>
    <row r="16" spans="2:13" x14ac:dyDescent="0.2">
      <c r="B16" s="16">
        <v>40080213</v>
      </c>
      <c r="C16" s="17" t="s">
        <v>12</v>
      </c>
      <c r="D16" s="70" t="s">
        <v>23</v>
      </c>
      <c r="E16" s="80">
        <v>65.55</v>
      </c>
      <c r="F16" s="50">
        <v>95</v>
      </c>
      <c r="G16" s="51">
        <v>90</v>
      </c>
    </row>
    <row r="17" spans="2:10" x14ac:dyDescent="0.2">
      <c r="B17" s="11">
        <v>40080229</v>
      </c>
      <c r="C17" s="12" t="s">
        <v>13</v>
      </c>
      <c r="D17" s="69" t="s">
        <v>23</v>
      </c>
      <c r="E17" s="79">
        <v>67.28</v>
      </c>
      <c r="F17" s="48">
        <v>100</v>
      </c>
      <c r="G17" s="49">
        <v>95</v>
      </c>
    </row>
    <row r="18" spans="2:10" x14ac:dyDescent="0.2">
      <c r="B18" s="16">
        <v>40080205</v>
      </c>
      <c r="C18" s="17" t="s">
        <v>14</v>
      </c>
      <c r="D18" s="70" t="s">
        <v>23</v>
      </c>
      <c r="E18" s="80">
        <v>71.88</v>
      </c>
      <c r="F18" s="50">
        <v>105</v>
      </c>
      <c r="G18" s="51">
        <v>100</v>
      </c>
    </row>
    <row r="19" spans="2:10" x14ac:dyDescent="0.2">
      <c r="B19" s="11">
        <v>40080232</v>
      </c>
      <c r="C19" s="12" t="s">
        <v>15</v>
      </c>
      <c r="D19" s="69" t="s">
        <v>23</v>
      </c>
      <c r="E19" s="79">
        <v>79.349999999999994</v>
      </c>
      <c r="F19" s="48">
        <v>115</v>
      </c>
      <c r="G19" s="49">
        <v>110</v>
      </c>
    </row>
    <row r="20" spans="2:10" x14ac:dyDescent="0.2">
      <c r="B20" s="16"/>
      <c r="C20" s="17"/>
      <c r="D20" s="70"/>
      <c r="E20" s="80"/>
      <c r="F20" s="50"/>
      <c r="G20" s="51"/>
    </row>
    <row r="21" spans="2:10" x14ac:dyDescent="0.2">
      <c r="B21" s="21"/>
      <c r="C21" s="6" t="s">
        <v>32</v>
      </c>
      <c r="D21" s="71"/>
      <c r="E21" s="81"/>
      <c r="F21" s="52"/>
      <c r="G21" s="53"/>
    </row>
    <row r="22" spans="2:10" x14ac:dyDescent="0.2">
      <c r="B22" s="11">
        <v>525543</v>
      </c>
      <c r="C22" s="12" t="s">
        <v>33</v>
      </c>
      <c r="D22" s="69" t="s">
        <v>23</v>
      </c>
      <c r="E22" s="79">
        <v>29.212874999999993</v>
      </c>
      <c r="F22" s="48"/>
      <c r="G22" s="49"/>
    </row>
    <row r="23" spans="2:10" ht="15.75" customHeight="1" x14ac:dyDescent="0.2">
      <c r="B23" s="16">
        <v>993808</v>
      </c>
      <c r="C23" s="17" t="s">
        <v>34</v>
      </c>
      <c r="D23" s="70" t="s">
        <v>23</v>
      </c>
      <c r="E23" s="80">
        <v>31.472624999999997</v>
      </c>
      <c r="F23" s="50"/>
      <c r="G23" s="51"/>
    </row>
    <row r="24" spans="2:10" x14ac:dyDescent="0.2">
      <c r="B24" s="11">
        <v>226684</v>
      </c>
      <c r="C24" s="12" t="s">
        <v>35</v>
      </c>
      <c r="D24" s="69" t="s">
        <v>23</v>
      </c>
      <c r="E24" s="79">
        <v>58.606875000000002</v>
      </c>
      <c r="F24" s="48">
        <v>83</v>
      </c>
      <c r="G24" s="49">
        <v>79</v>
      </c>
      <c r="J24" s="37"/>
    </row>
    <row r="25" spans="2:10" x14ac:dyDescent="0.2">
      <c r="B25" s="16">
        <v>179974</v>
      </c>
      <c r="C25" s="17" t="s">
        <v>36</v>
      </c>
      <c r="D25" s="70" t="s">
        <v>23</v>
      </c>
      <c r="E25" s="80">
        <v>51.085874999999994</v>
      </c>
      <c r="F25" s="50">
        <v>75</v>
      </c>
      <c r="G25" s="51">
        <v>70</v>
      </c>
    </row>
    <row r="26" spans="2:10" x14ac:dyDescent="0.2">
      <c r="B26" s="11">
        <v>582768</v>
      </c>
      <c r="C26" s="12" t="s">
        <v>37</v>
      </c>
      <c r="D26" s="69" t="s">
        <v>23</v>
      </c>
      <c r="E26" s="79">
        <v>54.104624999999984</v>
      </c>
      <c r="F26" s="48">
        <v>80</v>
      </c>
      <c r="G26" s="49">
        <v>73</v>
      </c>
    </row>
    <row r="27" spans="2:10" x14ac:dyDescent="0.2">
      <c r="B27" s="16">
        <v>727866</v>
      </c>
      <c r="C27" s="17" t="s">
        <v>38</v>
      </c>
      <c r="D27" s="70" t="s">
        <v>23</v>
      </c>
      <c r="E27" s="80">
        <v>51.103124999999991</v>
      </c>
      <c r="F27" s="50"/>
      <c r="G27" s="51"/>
    </row>
    <row r="28" spans="2:10" x14ac:dyDescent="0.2">
      <c r="B28" s="11">
        <v>610808</v>
      </c>
      <c r="C28" s="12" t="s">
        <v>39</v>
      </c>
      <c r="D28" s="69" t="s">
        <v>23</v>
      </c>
      <c r="E28" s="79">
        <v>33.577124999999995</v>
      </c>
      <c r="F28" s="48"/>
      <c r="G28" s="49"/>
    </row>
    <row r="29" spans="2:10" x14ac:dyDescent="0.2">
      <c r="B29" s="16">
        <v>607637</v>
      </c>
      <c r="C29" s="17" t="s">
        <v>40</v>
      </c>
      <c r="D29" s="70" t="s">
        <v>23</v>
      </c>
      <c r="E29" s="80">
        <v>38.018999999999991</v>
      </c>
      <c r="F29" s="50"/>
      <c r="G29" s="51"/>
    </row>
    <row r="30" spans="2:10" x14ac:dyDescent="0.2">
      <c r="B30" s="11">
        <v>678115</v>
      </c>
      <c r="C30" s="12" t="s">
        <v>41</v>
      </c>
      <c r="D30" s="69" t="s">
        <v>23</v>
      </c>
      <c r="E30" s="79">
        <v>46.083374999999997</v>
      </c>
      <c r="F30" s="48"/>
      <c r="G30" s="49"/>
    </row>
    <row r="31" spans="2:10" x14ac:dyDescent="0.2">
      <c r="B31" s="16">
        <v>920541</v>
      </c>
      <c r="C31" s="17" t="s">
        <v>42</v>
      </c>
      <c r="D31" s="70" t="s">
        <v>23</v>
      </c>
      <c r="E31" s="80">
        <v>61.349624999999996</v>
      </c>
      <c r="F31" s="50">
        <v>87</v>
      </c>
      <c r="G31" s="51">
        <v>82</v>
      </c>
    </row>
    <row r="32" spans="2:10" x14ac:dyDescent="0.2">
      <c r="B32" s="11">
        <v>266397</v>
      </c>
      <c r="C32" s="12" t="s">
        <v>43</v>
      </c>
      <c r="D32" s="69" t="s">
        <v>23</v>
      </c>
      <c r="E32" s="79">
        <v>65.601749999999996</v>
      </c>
      <c r="F32" s="48">
        <v>93</v>
      </c>
      <c r="G32" s="49">
        <v>88</v>
      </c>
    </row>
    <row r="33" spans="2:7" x14ac:dyDescent="0.2">
      <c r="B33" s="16">
        <v>188858</v>
      </c>
      <c r="C33" s="17" t="s">
        <v>44</v>
      </c>
      <c r="D33" s="70" t="s">
        <v>23</v>
      </c>
      <c r="E33" s="80">
        <v>59.452125000000009</v>
      </c>
      <c r="F33" s="50">
        <v>85</v>
      </c>
      <c r="G33" s="51">
        <v>80</v>
      </c>
    </row>
    <row r="34" spans="2:7" x14ac:dyDescent="0.2">
      <c r="B34" s="11">
        <v>546194</v>
      </c>
      <c r="C34" s="12" t="s">
        <v>45</v>
      </c>
      <c r="D34" s="69" t="s">
        <v>23</v>
      </c>
      <c r="E34" s="79">
        <v>77.93549999999999</v>
      </c>
      <c r="F34" s="48">
        <v>110</v>
      </c>
      <c r="G34" s="49">
        <v>105</v>
      </c>
    </row>
    <row r="35" spans="2:7" x14ac:dyDescent="0.2">
      <c r="B35" s="16"/>
      <c r="C35" s="17"/>
      <c r="D35" s="70"/>
      <c r="E35" s="80"/>
      <c r="F35" s="50"/>
      <c r="G35" s="51"/>
    </row>
    <row r="36" spans="2:7" x14ac:dyDescent="0.2">
      <c r="B36" s="21"/>
      <c r="C36" s="6" t="s">
        <v>91</v>
      </c>
      <c r="D36" s="71"/>
      <c r="E36" s="81"/>
      <c r="F36" s="52"/>
      <c r="G36" s="53"/>
    </row>
    <row r="37" spans="2:7" x14ac:dyDescent="0.2">
      <c r="B37" s="16">
        <v>307335</v>
      </c>
      <c r="C37" s="17" t="s">
        <v>92</v>
      </c>
      <c r="D37" s="70" t="s">
        <v>23</v>
      </c>
      <c r="E37" s="80">
        <v>64.445999999999998</v>
      </c>
      <c r="F37" s="50">
        <v>85</v>
      </c>
      <c r="G37" s="51">
        <v>81</v>
      </c>
    </row>
    <row r="38" spans="2:7" x14ac:dyDescent="0.2">
      <c r="B38" s="11">
        <v>328365</v>
      </c>
      <c r="C38" s="12" t="s">
        <v>93</v>
      </c>
      <c r="D38" s="69" t="s">
        <v>23</v>
      </c>
      <c r="E38" s="79">
        <v>66.06</v>
      </c>
      <c r="F38" s="48">
        <v>85</v>
      </c>
      <c r="G38" s="49">
        <v>83</v>
      </c>
    </row>
    <row r="39" spans="2:7" x14ac:dyDescent="0.2">
      <c r="B39" s="16">
        <v>307343</v>
      </c>
      <c r="C39" s="17" t="s">
        <v>94</v>
      </c>
      <c r="D39" s="70" t="s">
        <v>23</v>
      </c>
      <c r="E39" s="80">
        <v>70.566156250000006</v>
      </c>
      <c r="F39" s="50">
        <v>95</v>
      </c>
      <c r="G39" s="51">
        <v>89</v>
      </c>
    </row>
    <row r="40" spans="2:7" x14ac:dyDescent="0.2">
      <c r="B40" s="11">
        <v>307353</v>
      </c>
      <c r="C40" s="12" t="s">
        <v>95</v>
      </c>
      <c r="D40" s="69" t="s">
        <v>23</v>
      </c>
      <c r="E40" s="79">
        <v>85.374936250000005</v>
      </c>
      <c r="F40" s="48">
        <v>117</v>
      </c>
      <c r="G40" s="49">
        <v>107</v>
      </c>
    </row>
    <row r="41" spans="2:7" x14ac:dyDescent="0.2">
      <c r="B41" s="16">
        <v>307355</v>
      </c>
      <c r="C41" s="17" t="s">
        <v>96</v>
      </c>
      <c r="D41" s="70" t="s">
        <v>23</v>
      </c>
      <c r="E41" s="80">
        <v>83.949999999999989</v>
      </c>
      <c r="F41" s="50">
        <v>101</v>
      </c>
      <c r="G41" s="51">
        <v>105</v>
      </c>
    </row>
    <row r="42" spans="2:7" x14ac:dyDescent="0.2">
      <c r="B42" s="11" t="s">
        <v>99</v>
      </c>
      <c r="C42" s="12" t="s">
        <v>97</v>
      </c>
      <c r="D42" s="69" t="s">
        <v>23</v>
      </c>
      <c r="E42" s="79">
        <v>93.425999999999988</v>
      </c>
      <c r="F42" s="48">
        <v>125</v>
      </c>
      <c r="G42" s="49">
        <v>117</v>
      </c>
    </row>
    <row r="43" spans="2:7" x14ac:dyDescent="0.2">
      <c r="B43" s="16">
        <v>307361</v>
      </c>
      <c r="C43" s="17" t="s">
        <v>98</v>
      </c>
      <c r="D43" s="70" t="s">
        <v>23</v>
      </c>
      <c r="E43" s="80">
        <v>99.014999999999986</v>
      </c>
      <c r="F43" s="50">
        <v>132</v>
      </c>
      <c r="G43" s="51">
        <v>125</v>
      </c>
    </row>
    <row r="44" spans="2:7" x14ac:dyDescent="0.2">
      <c r="B44" s="21"/>
      <c r="C44" s="6" t="s">
        <v>142</v>
      </c>
      <c r="D44" s="71"/>
      <c r="E44" s="81"/>
      <c r="F44" s="52"/>
      <c r="G44" s="53"/>
    </row>
    <row r="45" spans="2:7" x14ac:dyDescent="0.2">
      <c r="B45" s="11"/>
      <c r="C45" s="12" t="s">
        <v>158</v>
      </c>
      <c r="D45" s="69" t="s">
        <v>24</v>
      </c>
      <c r="E45" s="79">
        <v>56.47</v>
      </c>
      <c r="F45" s="48">
        <v>80</v>
      </c>
      <c r="G45" s="49">
        <v>76</v>
      </c>
    </row>
    <row r="46" spans="2:7" x14ac:dyDescent="0.2">
      <c r="B46" s="16">
        <v>2404280000</v>
      </c>
      <c r="C46" s="17" t="s">
        <v>143</v>
      </c>
      <c r="D46" s="70" t="s">
        <v>24</v>
      </c>
      <c r="E46" s="80">
        <v>60.99</v>
      </c>
      <c r="F46" s="50">
        <v>90</v>
      </c>
      <c r="G46" s="51">
        <v>82</v>
      </c>
    </row>
    <row r="47" spans="2:7" x14ac:dyDescent="0.2">
      <c r="B47" s="11">
        <v>2404350000</v>
      </c>
      <c r="C47" s="12" t="s">
        <v>144</v>
      </c>
      <c r="D47" s="69" t="s">
        <v>24</v>
      </c>
      <c r="E47" s="79">
        <v>76.98</v>
      </c>
      <c r="F47" s="48">
        <v>110</v>
      </c>
      <c r="G47" s="49">
        <v>105</v>
      </c>
    </row>
    <row r="48" spans="2:7" x14ac:dyDescent="0.2">
      <c r="B48" s="16">
        <v>2404330000</v>
      </c>
      <c r="C48" s="17" t="s">
        <v>145</v>
      </c>
      <c r="D48" s="70" t="s">
        <v>24</v>
      </c>
      <c r="E48" s="80">
        <v>85.68</v>
      </c>
      <c r="F48" s="50">
        <v>120</v>
      </c>
      <c r="G48" s="51">
        <v>115</v>
      </c>
    </row>
    <row r="49" spans="2:7" x14ac:dyDescent="0.2">
      <c r="B49" s="11">
        <v>2405840000</v>
      </c>
      <c r="C49" s="12" t="s">
        <v>146</v>
      </c>
      <c r="D49" s="69" t="s">
        <v>24</v>
      </c>
      <c r="E49" s="79">
        <v>105</v>
      </c>
      <c r="F49" s="48">
        <v>150</v>
      </c>
      <c r="G49" s="49">
        <v>140</v>
      </c>
    </row>
    <row r="50" spans="2:7" x14ac:dyDescent="0.2">
      <c r="B50" s="21"/>
      <c r="C50" s="6" t="s">
        <v>367</v>
      </c>
      <c r="D50" s="71"/>
      <c r="E50" s="81"/>
      <c r="F50" s="52"/>
      <c r="G50" s="53"/>
    </row>
    <row r="51" spans="2:7" x14ac:dyDescent="0.2">
      <c r="B51" s="11" t="s">
        <v>374</v>
      </c>
      <c r="C51" s="12" t="s">
        <v>387</v>
      </c>
      <c r="D51" s="69" t="s">
        <v>336</v>
      </c>
      <c r="E51" s="79">
        <v>52.27</v>
      </c>
      <c r="F51" s="48">
        <f>Tabla1[[#This Row],[EFECTIVO]]*1.06</f>
        <v>73.882000000000005</v>
      </c>
      <c r="G51" s="49">
        <v>69.7</v>
      </c>
    </row>
    <row r="52" spans="2:7" x14ac:dyDescent="0.2">
      <c r="B52" s="16" t="s">
        <v>375</v>
      </c>
      <c r="C52" s="17" t="s">
        <v>388</v>
      </c>
      <c r="D52" s="70" t="s">
        <v>336</v>
      </c>
      <c r="E52" s="80">
        <v>55.5</v>
      </c>
      <c r="F52" s="50">
        <f>Tabla1[[#This Row],[EFECTIVO]]*1.06</f>
        <v>78.44</v>
      </c>
      <c r="G52" s="51">
        <v>74</v>
      </c>
    </row>
    <row r="53" spans="2:7" x14ac:dyDescent="0.2">
      <c r="B53" s="11" t="s">
        <v>376</v>
      </c>
      <c r="C53" s="12" t="s">
        <v>389</v>
      </c>
      <c r="D53" s="69" t="s">
        <v>336</v>
      </c>
      <c r="E53" s="79">
        <v>63.75</v>
      </c>
      <c r="F53" s="48">
        <f>Tabla1[[#This Row],[EFECTIVO]]*1.06</f>
        <v>90.100000000000009</v>
      </c>
      <c r="G53" s="49">
        <v>85</v>
      </c>
    </row>
    <row r="54" spans="2:7" x14ac:dyDescent="0.2">
      <c r="B54" s="16" t="s">
        <v>377</v>
      </c>
      <c r="C54" s="17" t="s">
        <v>390</v>
      </c>
      <c r="D54" s="70" t="s">
        <v>336</v>
      </c>
      <c r="E54" s="80">
        <v>62.44</v>
      </c>
      <c r="F54" s="50">
        <f>Tabla1[[#This Row],[EFECTIVO]]*1.06</f>
        <v>88.255600000000015</v>
      </c>
      <c r="G54" s="51">
        <v>83.26</v>
      </c>
    </row>
    <row r="55" spans="2:7" x14ac:dyDescent="0.2">
      <c r="B55" s="11" t="s">
        <v>378</v>
      </c>
      <c r="C55" s="12" t="s">
        <v>391</v>
      </c>
      <c r="D55" s="69" t="s">
        <v>336</v>
      </c>
      <c r="E55" s="79">
        <v>66.08</v>
      </c>
      <c r="F55" s="48">
        <f>Tabla1[[#This Row],[EFECTIVO]]*1.06</f>
        <v>93.396600000000007</v>
      </c>
      <c r="G55" s="49">
        <v>88.11</v>
      </c>
    </row>
    <row r="56" spans="2:7" x14ac:dyDescent="0.2">
      <c r="B56" s="16" t="s">
        <v>379</v>
      </c>
      <c r="C56" s="17" t="s">
        <v>392</v>
      </c>
      <c r="D56" s="70" t="s">
        <v>336</v>
      </c>
      <c r="E56" s="80">
        <v>64.5</v>
      </c>
      <c r="F56" s="50">
        <f>Tabla1[[#This Row],[EFECTIVO]]*1.06</f>
        <v>91.160000000000011</v>
      </c>
      <c r="G56" s="51">
        <v>86</v>
      </c>
    </row>
    <row r="57" spans="2:7" x14ac:dyDescent="0.2">
      <c r="B57" s="11" t="s">
        <v>380</v>
      </c>
      <c r="C57" s="12" t="s">
        <v>393</v>
      </c>
      <c r="D57" s="69" t="s">
        <v>336</v>
      </c>
      <c r="E57" s="79">
        <v>71.010000000000005</v>
      </c>
      <c r="F57" s="48">
        <f>Tabla1[[#This Row],[EFECTIVO]]*1.06</f>
        <v>100.36080000000001</v>
      </c>
      <c r="G57" s="49">
        <v>94.68</v>
      </c>
    </row>
    <row r="58" spans="2:7" x14ac:dyDescent="0.2">
      <c r="B58" s="16" t="s">
        <v>381</v>
      </c>
      <c r="C58" s="17" t="s">
        <v>394</v>
      </c>
      <c r="D58" s="70" t="s">
        <v>336</v>
      </c>
      <c r="E58" s="80">
        <v>76.92</v>
      </c>
      <c r="F58" s="50">
        <f>Tabla1[[#This Row],[EFECTIVO]]*1.06</f>
        <v>108.71360000000001</v>
      </c>
      <c r="G58" s="51">
        <v>102.56</v>
      </c>
    </row>
    <row r="59" spans="2:7" x14ac:dyDescent="0.2">
      <c r="B59" s="11" t="s">
        <v>382</v>
      </c>
      <c r="C59" s="12" t="s">
        <v>395</v>
      </c>
      <c r="D59" s="69" t="s">
        <v>336</v>
      </c>
      <c r="E59" s="79">
        <v>78.75</v>
      </c>
      <c r="F59" s="48">
        <f>Tabla1[[#This Row],[EFECTIVO]]*1.06</f>
        <v>111.30000000000001</v>
      </c>
      <c r="G59" s="49">
        <v>105</v>
      </c>
    </row>
    <row r="60" spans="2:7" x14ac:dyDescent="0.2">
      <c r="B60" s="11"/>
      <c r="C60" s="12"/>
      <c r="D60" s="69"/>
      <c r="E60" s="79"/>
      <c r="F60" s="48"/>
      <c r="G60" s="49"/>
    </row>
    <row r="61" spans="2:7" x14ac:dyDescent="0.2">
      <c r="B61" s="16"/>
      <c r="C61" s="17"/>
      <c r="D61" s="70"/>
      <c r="E61" s="80"/>
      <c r="F61" s="50"/>
      <c r="G61" s="51"/>
    </row>
    <row r="62" spans="2:7" x14ac:dyDescent="0.2">
      <c r="B62" s="21"/>
      <c r="C62" s="6" t="s">
        <v>81</v>
      </c>
      <c r="D62" s="71"/>
      <c r="E62" s="81"/>
      <c r="F62" s="52"/>
      <c r="G62" s="53"/>
    </row>
    <row r="63" spans="2:7" x14ac:dyDescent="0.2">
      <c r="B63" s="11">
        <v>40050199</v>
      </c>
      <c r="C63" s="12" t="s">
        <v>82</v>
      </c>
      <c r="D63" s="69" t="s">
        <v>23</v>
      </c>
      <c r="E63" s="79">
        <v>69.58</v>
      </c>
      <c r="F63" s="48">
        <v>92</v>
      </c>
      <c r="G63" s="49">
        <v>88</v>
      </c>
    </row>
    <row r="64" spans="2:7" x14ac:dyDescent="0.2">
      <c r="B64" s="16">
        <v>40050354</v>
      </c>
      <c r="C64" s="17" t="s">
        <v>83</v>
      </c>
      <c r="D64" s="70" t="s">
        <v>23</v>
      </c>
      <c r="E64" s="80">
        <v>66.7</v>
      </c>
      <c r="F64" s="50">
        <v>94</v>
      </c>
      <c r="G64" s="51">
        <v>90</v>
      </c>
    </row>
    <row r="65" spans="2:7" x14ac:dyDescent="0.2">
      <c r="B65" s="11">
        <v>40050045</v>
      </c>
      <c r="C65" s="12" t="s">
        <v>84</v>
      </c>
      <c r="D65" s="69" t="s">
        <v>23</v>
      </c>
      <c r="E65" s="79">
        <v>69</v>
      </c>
      <c r="F65" s="48">
        <v>95</v>
      </c>
      <c r="G65" s="49">
        <v>91</v>
      </c>
    </row>
    <row r="66" spans="2:7" x14ac:dyDescent="0.2">
      <c r="B66" s="16">
        <v>40050302</v>
      </c>
      <c r="C66" s="17" t="s">
        <v>85</v>
      </c>
      <c r="D66" s="70" t="s">
        <v>23</v>
      </c>
      <c r="E66" s="80">
        <v>92.58</v>
      </c>
      <c r="F66" s="50"/>
      <c r="G66" s="51"/>
    </row>
    <row r="67" spans="2:7" x14ac:dyDescent="0.2">
      <c r="B67" s="11">
        <v>40050222</v>
      </c>
      <c r="C67" s="12" t="s">
        <v>86</v>
      </c>
      <c r="D67" s="69" t="s">
        <v>23</v>
      </c>
      <c r="E67" s="79">
        <v>83.95</v>
      </c>
      <c r="F67" s="48"/>
      <c r="G67" s="49"/>
    </row>
    <row r="68" spans="2:7" x14ac:dyDescent="0.2">
      <c r="B68" s="16">
        <v>40050027</v>
      </c>
      <c r="C68" s="17" t="s">
        <v>87</v>
      </c>
      <c r="D68" s="70" t="s">
        <v>23</v>
      </c>
      <c r="E68" s="80">
        <v>77.05</v>
      </c>
      <c r="F68" s="50">
        <v>110</v>
      </c>
      <c r="G68" s="51">
        <v>100</v>
      </c>
    </row>
    <row r="69" spans="2:7" x14ac:dyDescent="0.2">
      <c r="B69" s="11">
        <v>40050359</v>
      </c>
      <c r="C69" s="12" t="s">
        <v>88</v>
      </c>
      <c r="D69" s="69" t="s">
        <v>23</v>
      </c>
      <c r="E69" s="79">
        <v>89.13</v>
      </c>
      <c r="F69" s="48"/>
      <c r="G69" s="49"/>
    </row>
    <row r="70" spans="2:7" x14ac:dyDescent="0.2">
      <c r="B70" s="16">
        <v>40050066</v>
      </c>
      <c r="C70" s="17" t="s">
        <v>89</v>
      </c>
      <c r="D70" s="70" t="s">
        <v>23</v>
      </c>
      <c r="E70" s="80">
        <v>81.650000000000006</v>
      </c>
      <c r="F70" s="50">
        <v>120</v>
      </c>
      <c r="G70" s="51">
        <v>115</v>
      </c>
    </row>
    <row r="71" spans="2:7" x14ac:dyDescent="0.2">
      <c r="B71" s="11">
        <v>40050224</v>
      </c>
      <c r="C71" s="12" t="s">
        <v>90</v>
      </c>
      <c r="D71" s="69" t="s">
        <v>23</v>
      </c>
      <c r="E71" s="79">
        <v>101.2</v>
      </c>
      <c r="F71" s="48">
        <v>140</v>
      </c>
      <c r="G71" s="49">
        <v>135</v>
      </c>
    </row>
    <row r="72" spans="2:7" x14ac:dyDescent="0.2">
      <c r="B72" s="40"/>
      <c r="C72" s="41"/>
      <c r="D72" s="72"/>
      <c r="E72" s="54"/>
      <c r="F72" s="54"/>
      <c r="G72" s="55"/>
    </row>
    <row r="73" spans="2:7" x14ac:dyDescent="0.2">
      <c r="B73" s="40"/>
      <c r="C73" s="41"/>
      <c r="D73" s="72"/>
      <c r="E73" s="54"/>
      <c r="F73" s="54"/>
      <c r="G73" s="55"/>
    </row>
    <row r="74" spans="2:7" x14ac:dyDescent="0.2">
      <c r="B74" s="40"/>
      <c r="C74" s="41"/>
      <c r="D74" s="72"/>
      <c r="E74" s="54"/>
      <c r="F74" s="54"/>
      <c r="G74" s="55"/>
    </row>
    <row r="75" spans="2:7" x14ac:dyDescent="0.2">
      <c r="B75" s="42"/>
      <c r="C75" s="43"/>
      <c r="D75" s="73"/>
      <c r="E75" s="82"/>
      <c r="F75" s="56"/>
      <c r="G75" s="57"/>
    </row>
    <row r="76" spans="2:7" x14ac:dyDescent="0.2">
      <c r="B76" s="21"/>
      <c r="C76" s="6" t="s">
        <v>100</v>
      </c>
      <c r="D76" s="71"/>
      <c r="E76" s="81"/>
      <c r="F76" s="52"/>
      <c r="G76" s="53"/>
    </row>
    <row r="77" spans="2:7" x14ac:dyDescent="0.2">
      <c r="B77" s="11">
        <v>350289</v>
      </c>
      <c r="C77" s="12" t="s">
        <v>101</v>
      </c>
      <c r="D77" s="69" t="s">
        <v>170</v>
      </c>
      <c r="E77" s="79">
        <v>79.72</v>
      </c>
      <c r="F77" s="48">
        <v>106</v>
      </c>
      <c r="G77" s="49">
        <v>100</v>
      </c>
    </row>
    <row r="78" spans="2:7" x14ac:dyDescent="0.2">
      <c r="B78" s="16">
        <v>350290</v>
      </c>
      <c r="C78" s="17" t="s">
        <v>102</v>
      </c>
      <c r="D78" s="70" t="s">
        <v>170</v>
      </c>
      <c r="E78" s="80">
        <v>87.11</v>
      </c>
      <c r="F78" s="50">
        <v>116</v>
      </c>
      <c r="G78" s="51">
        <v>109</v>
      </c>
    </row>
    <row r="79" spans="2:7" x14ac:dyDescent="0.2">
      <c r="B79" s="11">
        <v>350291</v>
      </c>
      <c r="C79" s="12" t="s">
        <v>103</v>
      </c>
      <c r="D79" s="69" t="s">
        <v>170</v>
      </c>
      <c r="E79" s="79">
        <v>95.89</v>
      </c>
      <c r="F79" s="48">
        <v>132</v>
      </c>
      <c r="G79" s="49">
        <v>120</v>
      </c>
    </row>
    <row r="80" spans="2:7" x14ac:dyDescent="0.2">
      <c r="B80" s="16">
        <v>350292</v>
      </c>
      <c r="C80" s="17" t="s">
        <v>104</v>
      </c>
      <c r="D80" s="70" t="s">
        <v>170</v>
      </c>
      <c r="E80" s="80">
        <v>104.65</v>
      </c>
      <c r="F80" s="50">
        <v>131</v>
      </c>
      <c r="G80" s="51">
        <v>139</v>
      </c>
    </row>
    <row r="81" spans="2:10" x14ac:dyDescent="0.2">
      <c r="B81" s="11">
        <v>350293</v>
      </c>
      <c r="C81" s="12" t="s">
        <v>105</v>
      </c>
      <c r="D81" s="69" t="s">
        <v>170</v>
      </c>
      <c r="E81" s="79">
        <v>116.44</v>
      </c>
      <c r="F81" s="48">
        <v>155</v>
      </c>
      <c r="G81" s="49">
        <v>146</v>
      </c>
    </row>
    <row r="82" spans="2:10" x14ac:dyDescent="0.2">
      <c r="B82" s="16">
        <v>351774</v>
      </c>
      <c r="C82" s="17" t="s">
        <v>106</v>
      </c>
      <c r="D82" s="70" t="s">
        <v>170</v>
      </c>
      <c r="E82" s="80">
        <v>119.45</v>
      </c>
      <c r="F82" s="50">
        <v>159</v>
      </c>
      <c r="G82" s="51">
        <v>150</v>
      </c>
    </row>
    <row r="83" spans="2:10" s="36" customFormat="1" x14ac:dyDescent="0.2">
      <c r="B83" s="40"/>
      <c r="C83" s="41"/>
      <c r="D83" s="72"/>
      <c r="E83" s="54"/>
      <c r="F83" s="54"/>
      <c r="G83" s="55"/>
    </row>
    <row r="84" spans="2:10" x14ac:dyDescent="0.2">
      <c r="B84" s="42"/>
      <c r="C84" s="43"/>
      <c r="D84" s="73"/>
      <c r="E84" s="82"/>
      <c r="F84" s="56"/>
      <c r="G84" s="57"/>
    </row>
    <row r="85" spans="2:10" x14ac:dyDescent="0.2">
      <c r="B85" s="21"/>
      <c r="C85" s="6" t="s">
        <v>118</v>
      </c>
      <c r="D85" s="71"/>
      <c r="E85" s="81"/>
      <c r="F85" s="52"/>
      <c r="G85" s="53"/>
    </row>
    <row r="86" spans="2:10" x14ac:dyDescent="0.2">
      <c r="B86" s="16">
        <v>40050323</v>
      </c>
      <c r="C86" s="17" t="s">
        <v>124</v>
      </c>
      <c r="D86" s="70" t="s">
        <v>170</v>
      </c>
      <c r="E86" s="80">
        <v>66.13</v>
      </c>
      <c r="F86" s="50">
        <v>95</v>
      </c>
      <c r="G86" s="51">
        <v>90</v>
      </c>
    </row>
    <row r="87" spans="2:10" x14ac:dyDescent="0.2">
      <c r="B87" s="11">
        <v>40050324</v>
      </c>
      <c r="C87" s="12" t="s">
        <v>125</v>
      </c>
      <c r="D87" s="69" t="s">
        <v>170</v>
      </c>
      <c r="E87" s="79">
        <v>73.77</v>
      </c>
      <c r="F87" s="48">
        <v>101</v>
      </c>
      <c r="G87" s="49">
        <v>95</v>
      </c>
    </row>
    <row r="88" spans="2:10" x14ac:dyDescent="0.2">
      <c r="B88" s="16">
        <v>40050325</v>
      </c>
      <c r="C88" s="17" t="s">
        <v>126</v>
      </c>
      <c r="D88" s="70" t="s">
        <v>170</v>
      </c>
      <c r="E88" s="80">
        <v>95.68</v>
      </c>
      <c r="F88" s="50">
        <v>124</v>
      </c>
      <c r="G88" s="51">
        <v>118</v>
      </c>
    </row>
    <row r="89" spans="2:10" x14ac:dyDescent="0.2">
      <c r="B89" s="11">
        <v>40050326</v>
      </c>
      <c r="C89" s="12" t="s">
        <v>127</v>
      </c>
      <c r="D89" s="69" t="s">
        <v>170</v>
      </c>
      <c r="E89" s="79">
        <v>97.39</v>
      </c>
      <c r="F89" s="48">
        <v>133</v>
      </c>
      <c r="G89" s="49">
        <v>125</v>
      </c>
    </row>
    <row r="90" spans="2:10" x14ac:dyDescent="0.2">
      <c r="B90" s="16">
        <v>40050347</v>
      </c>
      <c r="C90" s="17" t="s">
        <v>128</v>
      </c>
      <c r="D90" s="70" t="s">
        <v>170</v>
      </c>
      <c r="E90" s="80">
        <v>107.93</v>
      </c>
      <c r="F90" s="50">
        <v>150</v>
      </c>
      <c r="G90" s="51">
        <v>143</v>
      </c>
    </row>
    <row r="91" spans="2:10" x14ac:dyDescent="0.2">
      <c r="B91" s="11"/>
      <c r="C91" s="12"/>
      <c r="D91" s="69"/>
      <c r="E91" s="79"/>
      <c r="F91" s="48"/>
      <c r="G91" s="49"/>
    </row>
    <row r="92" spans="2:10" x14ac:dyDescent="0.2">
      <c r="B92" s="21"/>
      <c r="C92" s="6" t="s">
        <v>22</v>
      </c>
      <c r="D92" s="71"/>
      <c r="E92" s="81"/>
      <c r="F92" s="52"/>
      <c r="G92" s="53"/>
    </row>
    <row r="93" spans="2:10" x14ac:dyDescent="0.2">
      <c r="B93" s="16">
        <v>40080257</v>
      </c>
      <c r="C93" s="17" t="s">
        <v>28</v>
      </c>
      <c r="D93" s="70" t="s">
        <v>24</v>
      </c>
      <c r="E93" s="80">
        <v>73.599999999999994</v>
      </c>
      <c r="F93" s="50">
        <v>102</v>
      </c>
      <c r="G93" s="51">
        <v>97</v>
      </c>
    </row>
    <row r="94" spans="2:10" x14ac:dyDescent="0.2">
      <c r="B94" s="11">
        <v>40080269</v>
      </c>
      <c r="C94" s="12" t="s">
        <v>27</v>
      </c>
      <c r="D94" s="69" t="s">
        <v>24</v>
      </c>
      <c r="E94" s="79">
        <v>80.5</v>
      </c>
      <c r="F94" s="48">
        <v>113</v>
      </c>
      <c r="G94" s="49">
        <v>108</v>
      </c>
    </row>
    <row r="95" spans="2:10" x14ac:dyDescent="0.2">
      <c r="B95" s="16">
        <v>40080258</v>
      </c>
      <c r="C95" s="17" t="s">
        <v>26</v>
      </c>
      <c r="D95" s="70" t="s">
        <v>24</v>
      </c>
      <c r="E95" s="80">
        <v>100.05</v>
      </c>
      <c r="F95" s="50">
        <v>138</v>
      </c>
      <c r="G95" s="51">
        <v>132</v>
      </c>
      <c r="J95" s="37"/>
    </row>
    <row r="96" spans="2:10" x14ac:dyDescent="0.2">
      <c r="B96" s="11">
        <v>40080259</v>
      </c>
      <c r="C96" s="12" t="s">
        <v>25</v>
      </c>
      <c r="D96" s="69" t="s">
        <v>24</v>
      </c>
      <c r="E96" s="79">
        <v>102.35</v>
      </c>
      <c r="F96" s="48">
        <v>141</v>
      </c>
      <c r="G96" s="49">
        <v>135</v>
      </c>
    </row>
    <row r="97" spans="2:10" x14ac:dyDescent="0.2">
      <c r="B97" s="16">
        <v>40080260</v>
      </c>
      <c r="C97" s="17" t="s">
        <v>29</v>
      </c>
      <c r="D97" s="70" t="s">
        <v>24</v>
      </c>
      <c r="E97" s="80">
        <v>109.25</v>
      </c>
      <c r="F97" s="50">
        <v>153</v>
      </c>
      <c r="G97" s="51">
        <v>146</v>
      </c>
    </row>
    <row r="98" spans="2:10" x14ac:dyDescent="0.2">
      <c r="B98" s="11">
        <v>40080261</v>
      </c>
      <c r="C98" s="12" t="s">
        <v>30</v>
      </c>
      <c r="D98" s="69" t="s">
        <v>24</v>
      </c>
      <c r="E98" s="79">
        <v>117.3</v>
      </c>
      <c r="F98" s="48">
        <v>165</v>
      </c>
      <c r="G98" s="49">
        <v>158</v>
      </c>
    </row>
    <row r="99" spans="2:10" x14ac:dyDescent="0.2">
      <c r="B99" s="16">
        <v>40080262</v>
      </c>
      <c r="C99" s="17" t="s">
        <v>31</v>
      </c>
      <c r="D99" s="70" t="s">
        <v>24</v>
      </c>
      <c r="E99" s="80">
        <v>124.2</v>
      </c>
      <c r="F99" s="50">
        <v>174</v>
      </c>
      <c r="G99" s="51">
        <v>166</v>
      </c>
    </row>
    <row r="100" spans="2:10" ht="16.5" x14ac:dyDescent="0.25">
      <c r="B100"/>
      <c r="C100"/>
      <c r="D100" s="74"/>
      <c r="E100" s="58"/>
      <c r="F100" s="58"/>
      <c r="G100" s="58"/>
    </row>
    <row r="101" spans="2:10" x14ac:dyDescent="0.2">
      <c r="B101" s="21"/>
      <c r="C101" s="6" t="s">
        <v>159</v>
      </c>
      <c r="D101" s="71"/>
      <c r="E101" s="81"/>
      <c r="F101" s="52"/>
      <c r="G101" s="53"/>
    </row>
    <row r="102" spans="2:10" x14ac:dyDescent="0.2">
      <c r="B102" s="11">
        <v>2444220000</v>
      </c>
      <c r="C102" s="12" t="s">
        <v>160</v>
      </c>
      <c r="D102" s="69" t="s">
        <v>24</v>
      </c>
      <c r="E102" s="79">
        <v>99.420374999999993</v>
      </c>
      <c r="F102" s="48">
        <v>141</v>
      </c>
      <c r="G102" s="49">
        <v>132.56049999999999</v>
      </c>
    </row>
    <row r="103" spans="2:10" x14ac:dyDescent="0.2">
      <c r="B103" s="16" t="s">
        <v>166</v>
      </c>
      <c r="C103" s="17" t="s">
        <v>161</v>
      </c>
      <c r="D103" s="70" t="s">
        <v>24</v>
      </c>
      <c r="E103" s="80">
        <v>108.56287499999999</v>
      </c>
      <c r="F103" s="50">
        <v>154</v>
      </c>
      <c r="G103" s="51">
        <v>144.75049999999999</v>
      </c>
    </row>
    <row r="104" spans="2:10" x14ac:dyDescent="0.2">
      <c r="B104" s="11" t="s">
        <v>167</v>
      </c>
      <c r="C104" s="12" t="s">
        <v>162</v>
      </c>
      <c r="D104" s="69" t="s">
        <v>24</v>
      </c>
      <c r="E104" s="79">
        <v>122.85449999999999</v>
      </c>
      <c r="F104" s="48">
        <v>174</v>
      </c>
      <c r="G104" s="49">
        <v>163.80599999999998</v>
      </c>
    </row>
    <row r="105" spans="2:10" x14ac:dyDescent="0.2">
      <c r="B105" s="16" t="s">
        <v>168</v>
      </c>
      <c r="C105" s="17" t="s">
        <v>163</v>
      </c>
      <c r="D105" s="70" t="s">
        <v>24</v>
      </c>
      <c r="E105" s="80">
        <v>110.14987499999999</v>
      </c>
      <c r="F105" s="50">
        <v>156</v>
      </c>
      <c r="G105" s="51">
        <v>146.86649999999997</v>
      </c>
      <c r="J105" s="37"/>
    </row>
    <row r="106" spans="2:10" x14ac:dyDescent="0.2">
      <c r="B106" s="11">
        <v>2441580000</v>
      </c>
      <c r="C106" s="12" t="s">
        <v>164</v>
      </c>
      <c r="D106" s="69" t="s">
        <v>24</v>
      </c>
      <c r="E106" s="79">
        <v>139.233375</v>
      </c>
      <c r="F106" s="48">
        <v>197</v>
      </c>
      <c r="G106" s="49">
        <v>185.64449999999999</v>
      </c>
    </row>
    <row r="107" spans="2:10" x14ac:dyDescent="0.2">
      <c r="B107" s="16">
        <v>2440880000</v>
      </c>
      <c r="C107" s="17" t="s">
        <v>165</v>
      </c>
      <c r="D107" s="70" t="s">
        <v>24</v>
      </c>
      <c r="E107" s="80">
        <v>138.250125</v>
      </c>
      <c r="F107" s="50">
        <v>197</v>
      </c>
      <c r="G107" s="51">
        <v>184.33349999999999</v>
      </c>
    </row>
    <row r="108" spans="2:10" x14ac:dyDescent="0.2">
      <c r="B108" s="11"/>
      <c r="C108" s="12"/>
      <c r="D108" s="69"/>
      <c r="E108" s="79"/>
      <c r="F108" s="48"/>
      <c r="G108" s="49"/>
    </row>
    <row r="109" spans="2:10" x14ac:dyDescent="0.2">
      <c r="B109" s="21"/>
      <c r="C109" s="6" t="s">
        <v>107</v>
      </c>
      <c r="D109" s="71"/>
      <c r="E109" s="81"/>
      <c r="F109" s="52"/>
      <c r="G109" s="53"/>
    </row>
    <row r="110" spans="2:10" x14ac:dyDescent="0.2">
      <c r="B110" s="11">
        <v>310715</v>
      </c>
      <c r="C110" s="12" t="s">
        <v>108</v>
      </c>
      <c r="D110" s="69" t="s">
        <v>24</v>
      </c>
      <c r="E110" s="79">
        <v>110.7704725</v>
      </c>
      <c r="F110" s="48">
        <v>148</v>
      </c>
      <c r="G110" s="49">
        <v>138.46309062500001</v>
      </c>
    </row>
    <row r="111" spans="2:10" x14ac:dyDescent="0.2">
      <c r="B111" s="16">
        <v>326489</v>
      </c>
      <c r="C111" s="17" t="s">
        <v>109</v>
      </c>
      <c r="D111" s="70" t="s">
        <v>24</v>
      </c>
      <c r="E111" s="80">
        <v>123.33749999999999</v>
      </c>
      <c r="F111" s="50">
        <v>166</v>
      </c>
      <c r="G111" s="51">
        <v>156</v>
      </c>
    </row>
    <row r="112" spans="2:10" x14ac:dyDescent="0.2">
      <c r="B112" s="11">
        <v>310747</v>
      </c>
      <c r="C112" s="12" t="s">
        <v>110</v>
      </c>
      <c r="D112" s="69" t="s">
        <v>24</v>
      </c>
      <c r="E112" s="79">
        <v>120.55373071900004</v>
      </c>
      <c r="F112" s="48">
        <v>160</v>
      </c>
      <c r="G112" s="49">
        <v>150.69216339875007</v>
      </c>
    </row>
    <row r="113" spans="2:7" x14ac:dyDescent="0.2">
      <c r="B113" s="16">
        <v>310749</v>
      </c>
      <c r="C113" s="17" t="s">
        <v>111</v>
      </c>
      <c r="D113" s="70" t="s">
        <v>24</v>
      </c>
      <c r="E113" s="80">
        <v>126.23601175</v>
      </c>
      <c r="F113" s="50">
        <v>168</v>
      </c>
      <c r="G113" s="51">
        <v>157.79501468750001</v>
      </c>
    </row>
    <row r="114" spans="2:7" x14ac:dyDescent="0.2">
      <c r="B114" s="11">
        <v>310753</v>
      </c>
      <c r="C114" s="12" t="s">
        <v>112</v>
      </c>
      <c r="D114" s="69" t="s">
        <v>24</v>
      </c>
      <c r="E114" s="79">
        <v>126.23549999999999</v>
      </c>
      <c r="F114" s="48">
        <v>168</v>
      </c>
      <c r="G114" s="49">
        <v>157.794375</v>
      </c>
    </row>
    <row r="115" spans="2:7" x14ac:dyDescent="0.2">
      <c r="B115" s="16">
        <v>310757</v>
      </c>
      <c r="C115" s="17" t="s">
        <v>116</v>
      </c>
      <c r="D115" s="70" t="s">
        <v>24</v>
      </c>
      <c r="E115" s="80">
        <v>138.71299999999999</v>
      </c>
      <c r="F115" s="50">
        <v>186</v>
      </c>
      <c r="G115" s="51">
        <v>173.40124999999998</v>
      </c>
    </row>
    <row r="116" spans="2:7" x14ac:dyDescent="0.2">
      <c r="B116" s="11">
        <v>310755</v>
      </c>
      <c r="C116" s="12" t="s">
        <v>117</v>
      </c>
      <c r="D116" s="69" t="s">
        <v>24</v>
      </c>
      <c r="E116" s="79">
        <v>132.76749999999998</v>
      </c>
      <c r="F116" s="48">
        <v>176</v>
      </c>
      <c r="G116" s="49">
        <v>165.95937499999999</v>
      </c>
    </row>
    <row r="117" spans="2:7" x14ac:dyDescent="0.2">
      <c r="B117" s="16">
        <v>326609</v>
      </c>
      <c r="C117" s="17" t="s">
        <v>116</v>
      </c>
      <c r="D117" s="70" t="s">
        <v>24</v>
      </c>
      <c r="E117" s="80">
        <v>138.71299999999999</v>
      </c>
      <c r="F117" s="50">
        <v>186</v>
      </c>
      <c r="G117" s="51">
        <v>173.39699999999999</v>
      </c>
    </row>
    <row r="118" spans="2:7" x14ac:dyDescent="0.2">
      <c r="B118" s="11">
        <v>310763</v>
      </c>
      <c r="C118" s="12" t="s">
        <v>113</v>
      </c>
      <c r="D118" s="69" t="s">
        <v>24</v>
      </c>
      <c r="E118" s="79">
        <v>143.15200000000002</v>
      </c>
      <c r="F118" s="48">
        <v>190</v>
      </c>
      <c r="G118" s="49">
        <v>178.94000000000003</v>
      </c>
    </row>
    <row r="119" spans="2:7" x14ac:dyDescent="0.2">
      <c r="B119" s="16">
        <v>310765</v>
      </c>
      <c r="C119" s="17" t="s">
        <v>114</v>
      </c>
      <c r="D119" s="70" t="s">
        <v>24</v>
      </c>
      <c r="E119" s="80">
        <v>150.25209999999998</v>
      </c>
      <c r="F119" s="50">
        <v>199</v>
      </c>
      <c r="G119" s="51">
        <v>187.81512499999997</v>
      </c>
    </row>
    <row r="120" spans="2:7" x14ac:dyDescent="0.2">
      <c r="B120" s="11">
        <v>310769</v>
      </c>
      <c r="C120" s="12" t="s">
        <v>115</v>
      </c>
      <c r="D120" s="69" t="s">
        <v>24</v>
      </c>
      <c r="E120" s="79">
        <v>156.24914875000002</v>
      </c>
      <c r="F120" s="48">
        <v>208</v>
      </c>
      <c r="G120" s="49">
        <v>195.31143593749999</v>
      </c>
    </row>
    <row r="121" spans="2:7" x14ac:dyDescent="0.2">
      <c r="B121" s="30"/>
      <c r="C121" s="31"/>
      <c r="D121" s="75"/>
      <c r="E121" s="59"/>
      <c r="F121" s="59"/>
      <c r="G121" s="60"/>
    </row>
    <row r="122" spans="2:7" x14ac:dyDescent="0.2">
      <c r="B122" s="21"/>
      <c r="C122" s="6" t="s">
        <v>147</v>
      </c>
      <c r="D122" s="71"/>
      <c r="E122" s="81"/>
      <c r="F122" s="52"/>
      <c r="G122" s="53"/>
    </row>
    <row r="123" spans="2:7" x14ac:dyDescent="0.2">
      <c r="B123" s="16" t="s">
        <v>153</v>
      </c>
      <c r="C123" s="17" t="s">
        <v>148</v>
      </c>
      <c r="D123" s="70" t="s">
        <v>24</v>
      </c>
      <c r="E123" s="80">
        <v>104.44874999999998</v>
      </c>
      <c r="F123" s="50">
        <v>148</v>
      </c>
      <c r="G123" s="51">
        <v>139.26499999999999</v>
      </c>
    </row>
    <row r="124" spans="2:7" x14ac:dyDescent="0.2">
      <c r="B124" s="11" t="s">
        <v>154</v>
      </c>
      <c r="C124" s="12" t="s">
        <v>149</v>
      </c>
      <c r="D124" s="69" t="s">
        <v>24</v>
      </c>
      <c r="E124" s="79">
        <v>144.03749999999999</v>
      </c>
      <c r="F124" s="48">
        <v>204</v>
      </c>
      <c r="G124" s="49">
        <v>192.04999999999998</v>
      </c>
    </row>
    <row r="125" spans="2:7" x14ac:dyDescent="0.2">
      <c r="B125" s="16" t="s">
        <v>476</v>
      </c>
      <c r="C125" s="17" t="s">
        <v>366</v>
      </c>
      <c r="D125" s="70" t="s">
        <v>24</v>
      </c>
      <c r="E125" s="80">
        <v>138.37</v>
      </c>
      <c r="F125" s="50">
        <v>195</v>
      </c>
      <c r="G125" s="51">
        <v>185</v>
      </c>
    </row>
    <row r="126" spans="2:7" x14ac:dyDescent="0.2">
      <c r="B126" s="11" t="s">
        <v>155</v>
      </c>
      <c r="C126" s="12" t="s">
        <v>150</v>
      </c>
      <c r="D126" s="69" t="s">
        <v>24</v>
      </c>
      <c r="E126" s="79">
        <v>162.02062499999997</v>
      </c>
      <c r="F126" s="48">
        <v>230</v>
      </c>
      <c r="G126" s="49">
        <v>216.02749999999997</v>
      </c>
    </row>
    <row r="127" spans="2:7" x14ac:dyDescent="0.2">
      <c r="B127" s="16" t="s">
        <v>156</v>
      </c>
      <c r="C127" s="17" t="s">
        <v>151</v>
      </c>
      <c r="D127" s="70" t="s">
        <v>24</v>
      </c>
      <c r="E127" s="80">
        <v>191.12999999999997</v>
      </c>
      <c r="F127" s="50">
        <v>270</v>
      </c>
      <c r="G127" s="51">
        <v>254.83999999999997</v>
      </c>
    </row>
    <row r="128" spans="2:7" x14ac:dyDescent="0.2">
      <c r="B128" s="11" t="s">
        <v>157</v>
      </c>
      <c r="C128" s="12" t="s">
        <v>152</v>
      </c>
      <c r="D128" s="69" t="s">
        <v>24</v>
      </c>
      <c r="E128" s="79">
        <v>185.46337499999998</v>
      </c>
      <c r="F128" s="48">
        <v>262</v>
      </c>
      <c r="G128" s="49">
        <v>247.28449999999998</v>
      </c>
    </row>
    <row r="129" spans="2:7" x14ac:dyDescent="0.2">
      <c r="B129" s="16" t="s">
        <v>477</v>
      </c>
      <c r="C129" s="17" t="s">
        <v>478</v>
      </c>
      <c r="D129" s="70" t="s">
        <v>24</v>
      </c>
      <c r="E129" s="80"/>
      <c r="F129" s="50"/>
      <c r="G129" s="51"/>
    </row>
    <row r="130" spans="2:7" ht="16.5" x14ac:dyDescent="0.25">
      <c r="B130"/>
      <c r="C130"/>
      <c r="D130" s="74"/>
      <c r="E130" s="58"/>
      <c r="F130" s="58"/>
      <c r="G130" s="58"/>
    </row>
    <row r="131" spans="2:7" x14ac:dyDescent="0.2">
      <c r="B131" s="21"/>
      <c r="C131" s="6" t="s">
        <v>198</v>
      </c>
      <c r="D131" s="71"/>
      <c r="E131" s="81"/>
      <c r="F131" s="52"/>
      <c r="G131" s="53"/>
    </row>
    <row r="132" spans="2:7" x14ac:dyDescent="0.2">
      <c r="B132" s="16">
        <v>40050102</v>
      </c>
      <c r="C132" s="17" t="s">
        <v>199</v>
      </c>
      <c r="D132" s="70" t="s">
        <v>24</v>
      </c>
      <c r="E132" s="80">
        <v>143.75</v>
      </c>
      <c r="F132" s="50">
        <v>210</v>
      </c>
      <c r="G132" s="51">
        <v>105</v>
      </c>
    </row>
    <row r="133" spans="2:7" x14ac:dyDescent="0.2">
      <c r="B133" s="11">
        <v>40050136</v>
      </c>
      <c r="C133" s="12" t="s">
        <v>200</v>
      </c>
      <c r="D133" s="69" t="s">
        <v>24</v>
      </c>
      <c r="E133" s="79">
        <v>149.5</v>
      </c>
      <c r="F133" s="48">
        <v>239</v>
      </c>
      <c r="G133" s="49">
        <v>205</v>
      </c>
    </row>
    <row r="134" spans="2:7" x14ac:dyDescent="0.2">
      <c r="B134" s="16">
        <v>40050103</v>
      </c>
      <c r="C134" s="17" t="s">
        <v>201</v>
      </c>
      <c r="D134" s="70" t="s">
        <v>24</v>
      </c>
      <c r="E134" s="80">
        <v>195.5</v>
      </c>
      <c r="F134" s="50">
        <v>270</v>
      </c>
      <c r="G134" s="51">
        <v>255</v>
      </c>
    </row>
    <row r="135" spans="2:7" x14ac:dyDescent="0.2">
      <c r="B135" s="11"/>
      <c r="C135" s="12"/>
      <c r="D135" s="69"/>
      <c r="E135" s="79"/>
      <c r="F135" s="48"/>
      <c r="G135" s="49"/>
    </row>
    <row r="136" spans="2:7" x14ac:dyDescent="0.2">
      <c r="B136" s="21"/>
      <c r="C136" s="6" t="s">
        <v>202</v>
      </c>
      <c r="D136" s="71"/>
      <c r="E136" s="81"/>
      <c r="F136" s="52"/>
      <c r="G136" s="53"/>
    </row>
    <row r="137" spans="2:7" x14ac:dyDescent="0.2">
      <c r="B137" s="11">
        <v>40050368</v>
      </c>
      <c r="C137" s="12" t="s">
        <v>203</v>
      </c>
      <c r="D137" s="69" t="s">
        <v>24</v>
      </c>
      <c r="E137" s="79">
        <v>207</v>
      </c>
      <c r="F137" s="48">
        <v>305</v>
      </c>
      <c r="G137" s="49">
        <v>265</v>
      </c>
    </row>
    <row r="138" spans="2:7" x14ac:dyDescent="0.2">
      <c r="B138" s="16"/>
      <c r="C138" s="17"/>
      <c r="D138" s="70"/>
      <c r="E138" s="80"/>
      <c r="F138" s="50"/>
      <c r="G138" s="51"/>
    </row>
    <row r="139" spans="2:7" x14ac:dyDescent="0.2">
      <c r="B139" s="21"/>
      <c r="C139" s="6" t="s">
        <v>204</v>
      </c>
      <c r="D139" s="71"/>
      <c r="E139" s="81"/>
      <c r="F139" s="52"/>
      <c r="G139" s="53"/>
    </row>
    <row r="140" spans="2:7" x14ac:dyDescent="0.2">
      <c r="B140" s="16">
        <v>40050293</v>
      </c>
      <c r="C140" s="17" t="s">
        <v>205</v>
      </c>
      <c r="D140" s="70" t="s">
        <v>24</v>
      </c>
      <c r="E140" s="80">
        <v>191.75</v>
      </c>
      <c r="F140" s="50">
        <v>265</v>
      </c>
      <c r="G140" s="51">
        <v>245</v>
      </c>
    </row>
    <row r="141" spans="2:7" ht="16.5" x14ac:dyDescent="0.25">
      <c r="B141"/>
      <c r="C141"/>
      <c r="D141" s="74"/>
      <c r="E141" s="58"/>
      <c r="F141" s="58"/>
      <c r="G141" s="58"/>
    </row>
    <row r="142" spans="2:7" x14ac:dyDescent="0.2">
      <c r="B142" s="21"/>
      <c r="C142" s="6" t="s">
        <v>65</v>
      </c>
      <c r="D142" s="71"/>
      <c r="E142" s="81"/>
      <c r="F142" s="52"/>
      <c r="G142" s="53"/>
    </row>
    <row r="143" spans="2:7" x14ac:dyDescent="0.2">
      <c r="B143" s="11">
        <v>61080110</v>
      </c>
      <c r="C143" s="12" t="s">
        <v>66</v>
      </c>
      <c r="D143" s="69" t="s">
        <v>24</v>
      </c>
      <c r="E143" s="79">
        <f>(156.11+0.65)*1.15</f>
        <v>180.274</v>
      </c>
      <c r="F143" s="48">
        <f>Tabla1[[#This Row],[EFECTIVO]]*1.05</f>
        <v>251.34112499999998</v>
      </c>
      <c r="G143" s="49">
        <f>208.15*1.15</f>
        <v>239.37249999999997</v>
      </c>
    </row>
    <row r="144" spans="2:7" ht="16.5" customHeight="1" x14ac:dyDescent="0.2">
      <c r="B144" s="16">
        <v>61080150</v>
      </c>
      <c r="C144" s="17" t="s">
        <v>67</v>
      </c>
      <c r="D144" s="70" t="s">
        <v>24</v>
      </c>
      <c r="E144" s="80">
        <f>(179.93+0.65)*1.15</f>
        <v>207.667</v>
      </c>
      <c r="F144" s="50">
        <f>Tabla1[[#This Row],[EFECTIVO]]*1.05</f>
        <v>289.67925000000002</v>
      </c>
      <c r="G144" s="51">
        <f>239.9*1.15</f>
        <v>275.88499999999999</v>
      </c>
    </row>
    <row r="145" spans="2:7" x14ac:dyDescent="0.2">
      <c r="B145" s="11">
        <v>61080120</v>
      </c>
      <c r="C145" s="12" t="s">
        <v>481</v>
      </c>
      <c r="D145" s="69" t="s">
        <v>24</v>
      </c>
      <c r="E145" s="79">
        <f>(161.67+0.65)*1.15</f>
        <v>186.66799999999998</v>
      </c>
      <c r="F145" s="48">
        <f>Tabla1[[#This Row],[EFECTIVO]]*1.05</f>
        <v>260.28870000000001</v>
      </c>
      <c r="G145" s="49">
        <f>215.56*1.15</f>
        <v>247.89399999999998</v>
      </c>
    </row>
    <row r="146" spans="2:7" x14ac:dyDescent="0.2">
      <c r="B146" s="16">
        <v>61080190</v>
      </c>
      <c r="C146" s="17" t="s">
        <v>480</v>
      </c>
      <c r="D146" s="70" t="s">
        <v>24</v>
      </c>
      <c r="E146" s="80">
        <f>(199.17+0.65)*1.15</f>
        <v>229.79299999999998</v>
      </c>
      <c r="F146" s="50">
        <f>Tabla1[[#This Row],[EFECTIVO]]*1.05</f>
        <v>320.66370000000001</v>
      </c>
      <c r="G146" s="51">
        <f>265.56*1.15</f>
        <v>305.39400000000001</v>
      </c>
    </row>
    <row r="147" spans="2:7" x14ac:dyDescent="0.2">
      <c r="B147" s="11">
        <v>61080180</v>
      </c>
      <c r="C147" s="12" t="s">
        <v>483</v>
      </c>
      <c r="D147" s="69" t="s">
        <v>24</v>
      </c>
      <c r="E147" s="79">
        <f>(189.32+0.65)*1.15</f>
        <v>218.46549999999999</v>
      </c>
      <c r="F147" s="48">
        <f>Tabla1[[#This Row],[EFECTIVO]]*1.05</f>
        <v>304.79714999999999</v>
      </c>
      <c r="G147" s="49">
        <f>252.42*1.15</f>
        <v>290.28299999999996</v>
      </c>
    </row>
    <row r="148" spans="2:7" x14ac:dyDescent="0.2">
      <c r="B148" s="16">
        <v>61080160</v>
      </c>
      <c r="C148" s="17" t="s">
        <v>482</v>
      </c>
      <c r="D148" s="70" t="s">
        <v>24</v>
      </c>
      <c r="E148" s="80">
        <f>(174.85+0.65)*1.15</f>
        <v>201.82499999999999</v>
      </c>
      <c r="F148" s="50">
        <f>Tabla1[[#This Row],[EFECTIVO]]*1.05</f>
        <v>281.50447500000001</v>
      </c>
      <c r="G148" s="51">
        <f>233.13*1.15</f>
        <v>268.09949999999998</v>
      </c>
    </row>
    <row r="149" spans="2:7" x14ac:dyDescent="0.2">
      <c r="B149" s="11"/>
      <c r="C149" s="12"/>
      <c r="D149" s="69"/>
      <c r="E149" s="79"/>
      <c r="F149" s="48"/>
      <c r="G149" s="49"/>
    </row>
    <row r="150" spans="2:7" x14ac:dyDescent="0.2">
      <c r="B150" s="21"/>
      <c r="C150" s="6" t="s">
        <v>129</v>
      </c>
      <c r="D150" s="71"/>
      <c r="E150" s="81"/>
      <c r="F150" s="52"/>
      <c r="G150" s="53"/>
    </row>
    <row r="151" spans="2:7" x14ac:dyDescent="0.2">
      <c r="B151" s="11">
        <v>40050261</v>
      </c>
      <c r="C151" s="12" t="s">
        <v>130</v>
      </c>
      <c r="D151" s="69" t="s">
        <v>170</v>
      </c>
      <c r="E151" s="79">
        <v>91.87</v>
      </c>
      <c r="F151" s="48">
        <v>120</v>
      </c>
      <c r="G151" s="49">
        <v>114</v>
      </c>
    </row>
    <row r="152" spans="2:7" x14ac:dyDescent="0.2">
      <c r="B152" s="16">
        <v>40050321</v>
      </c>
      <c r="C152" s="17" t="s">
        <v>131</v>
      </c>
      <c r="D152" s="70" t="s">
        <v>170</v>
      </c>
      <c r="E152" s="80">
        <v>97.75</v>
      </c>
      <c r="F152" s="50">
        <v>125</v>
      </c>
      <c r="G152" s="51">
        <v>116</v>
      </c>
    </row>
    <row r="153" spans="2:7" x14ac:dyDescent="0.2">
      <c r="B153" s="11">
        <v>40050260</v>
      </c>
      <c r="C153" s="12" t="s">
        <v>132</v>
      </c>
      <c r="D153" s="69" t="s">
        <v>170</v>
      </c>
      <c r="E153" s="79">
        <v>120.18</v>
      </c>
      <c r="F153" s="48">
        <v>169</v>
      </c>
      <c r="G153" s="49">
        <v>145</v>
      </c>
    </row>
    <row r="154" spans="2:7" x14ac:dyDescent="0.2">
      <c r="B154" s="16">
        <v>40050376</v>
      </c>
      <c r="C154" s="17" t="s">
        <v>132</v>
      </c>
      <c r="D154" s="70" t="s">
        <v>170</v>
      </c>
      <c r="E154" s="80" t="s">
        <v>133</v>
      </c>
      <c r="F154" s="50">
        <v>169</v>
      </c>
      <c r="G154" s="51">
        <v>145</v>
      </c>
    </row>
    <row r="155" spans="2:7" x14ac:dyDescent="0.2">
      <c r="B155" s="11">
        <v>40050319</v>
      </c>
      <c r="C155" s="12" t="s">
        <v>134</v>
      </c>
      <c r="D155" s="69" t="s">
        <v>170</v>
      </c>
      <c r="E155" s="79">
        <v>120.75</v>
      </c>
      <c r="F155" s="48">
        <v>165</v>
      </c>
      <c r="G155" s="49">
        <v>155</v>
      </c>
    </row>
    <row r="156" spans="2:7" x14ac:dyDescent="0.2">
      <c r="B156" s="16">
        <v>40050298</v>
      </c>
      <c r="C156" s="17" t="s">
        <v>135</v>
      </c>
      <c r="D156" s="70" t="s">
        <v>170</v>
      </c>
      <c r="E156" s="80">
        <v>194.35</v>
      </c>
      <c r="F156" s="50">
        <v>260</v>
      </c>
      <c r="G156" s="51">
        <v>241</v>
      </c>
    </row>
    <row r="157" spans="2:7" x14ac:dyDescent="0.2">
      <c r="B157" s="11"/>
      <c r="C157" s="12" t="s">
        <v>171</v>
      </c>
      <c r="D157" s="69" t="s">
        <v>170</v>
      </c>
      <c r="E157" s="79">
        <v>241.5</v>
      </c>
      <c r="F157" s="48">
        <v>320</v>
      </c>
      <c r="G157" s="49">
        <v>299</v>
      </c>
    </row>
    <row r="158" spans="2:7" x14ac:dyDescent="0.2">
      <c r="B158" s="16" t="s">
        <v>479</v>
      </c>
      <c r="C158" s="17" t="s">
        <v>172</v>
      </c>
      <c r="D158" s="70" t="s">
        <v>170</v>
      </c>
      <c r="E158" s="80">
        <v>322</v>
      </c>
      <c r="F158" s="50">
        <v>450</v>
      </c>
      <c r="G158" s="51">
        <v>415</v>
      </c>
    </row>
    <row r="159" spans="2:7" x14ac:dyDescent="0.2">
      <c r="B159" s="40"/>
      <c r="C159" s="41"/>
      <c r="D159" s="72"/>
      <c r="E159" s="54"/>
      <c r="F159" s="54"/>
      <c r="G159" s="55"/>
    </row>
    <row r="160" spans="2:7" x14ac:dyDescent="0.2">
      <c r="B160" s="21"/>
      <c r="C160" s="6" t="s">
        <v>136</v>
      </c>
      <c r="D160" s="71"/>
      <c r="E160" s="81"/>
      <c r="F160" s="52"/>
      <c r="G160" s="53"/>
    </row>
    <row r="161" spans="2:7" x14ac:dyDescent="0.2">
      <c r="B161" s="11">
        <v>40050330</v>
      </c>
      <c r="C161" s="12" t="s">
        <v>137</v>
      </c>
      <c r="D161" s="69" t="s">
        <v>173</v>
      </c>
      <c r="E161" s="79">
        <v>100.97</v>
      </c>
      <c r="F161" s="48">
        <v>135</v>
      </c>
      <c r="G161" s="49">
        <v>127</v>
      </c>
    </row>
    <row r="162" spans="2:7" x14ac:dyDescent="0.2">
      <c r="B162" s="16">
        <v>40050329</v>
      </c>
      <c r="C162" s="17" t="s">
        <v>138</v>
      </c>
      <c r="D162" s="70" t="s">
        <v>173</v>
      </c>
      <c r="E162" s="80">
        <v>126.5</v>
      </c>
      <c r="F162" s="50">
        <v>175</v>
      </c>
      <c r="G162" s="51">
        <v>160</v>
      </c>
    </row>
    <row r="163" spans="2:7" x14ac:dyDescent="0.2">
      <c r="B163" s="11">
        <v>40050346</v>
      </c>
      <c r="C163" s="12" t="s">
        <v>484</v>
      </c>
      <c r="D163" s="69" t="s">
        <v>173</v>
      </c>
      <c r="E163" s="79">
        <v>137.16</v>
      </c>
      <c r="F163" s="48">
        <v>185</v>
      </c>
      <c r="G163" s="49">
        <v>172</v>
      </c>
    </row>
    <row r="164" spans="2:7" x14ac:dyDescent="0.2">
      <c r="B164" s="16">
        <v>40050341</v>
      </c>
      <c r="C164" s="17" t="s">
        <v>139</v>
      </c>
      <c r="D164" s="70" t="s">
        <v>173</v>
      </c>
      <c r="E164" s="80">
        <v>214.69</v>
      </c>
      <c r="F164" s="50">
        <v>305</v>
      </c>
      <c r="G164" s="51">
        <v>275</v>
      </c>
    </row>
    <row r="165" spans="2:7" x14ac:dyDescent="0.2">
      <c r="B165" s="11">
        <v>40050343</v>
      </c>
      <c r="C165" s="12" t="s">
        <v>140</v>
      </c>
      <c r="D165" s="69" t="s">
        <v>173</v>
      </c>
      <c r="E165" s="79">
        <v>264.5</v>
      </c>
      <c r="F165" s="48">
        <v>370</v>
      </c>
      <c r="G165" s="49">
        <v>340</v>
      </c>
    </row>
    <row r="166" spans="2:7" x14ac:dyDescent="0.2">
      <c r="B166" s="16">
        <v>40050344</v>
      </c>
      <c r="C166" s="17" t="s">
        <v>141</v>
      </c>
      <c r="D166" s="70" t="s">
        <v>173</v>
      </c>
      <c r="E166" s="80">
        <v>287.5</v>
      </c>
      <c r="F166" s="50">
        <v>399</v>
      </c>
      <c r="G166" s="51">
        <v>375</v>
      </c>
    </row>
    <row r="167" spans="2:7" x14ac:dyDescent="0.2">
      <c r="B167" s="11"/>
      <c r="C167" s="12"/>
      <c r="D167" s="69"/>
      <c r="E167" s="79"/>
      <c r="F167" s="48"/>
      <c r="G167" s="49"/>
    </row>
    <row r="168" spans="2:7" x14ac:dyDescent="0.2">
      <c r="B168" s="21"/>
      <c r="C168" s="6" t="s">
        <v>301</v>
      </c>
      <c r="D168" s="71"/>
      <c r="E168" s="81"/>
      <c r="F168" s="52"/>
      <c r="G168" s="53"/>
    </row>
    <row r="169" spans="2:7" x14ac:dyDescent="0.2">
      <c r="B169" s="11">
        <v>354880</v>
      </c>
      <c r="C169" s="12" t="s">
        <v>302</v>
      </c>
      <c r="D169" s="69" t="s">
        <v>336</v>
      </c>
      <c r="E169" s="79">
        <v>142.416</v>
      </c>
      <c r="F169" s="48">
        <v>190.11314999999999</v>
      </c>
      <c r="G169" s="49">
        <v>178.51</v>
      </c>
    </row>
    <row r="170" spans="2:7" x14ac:dyDescent="0.2">
      <c r="B170" s="16">
        <v>354884</v>
      </c>
      <c r="C170" s="17" t="s">
        <v>303</v>
      </c>
      <c r="D170" s="70" t="s">
        <v>336</v>
      </c>
      <c r="E170" s="80">
        <v>177.51400000000001</v>
      </c>
      <c r="F170" s="50">
        <v>236.31551250000001</v>
      </c>
      <c r="G170" s="51">
        <v>221.89250000000001</v>
      </c>
    </row>
    <row r="171" spans="2:7" x14ac:dyDescent="0.2">
      <c r="B171" s="16"/>
      <c r="C171" s="17"/>
      <c r="D171" s="70"/>
      <c r="E171" s="80"/>
      <c r="F171" s="50"/>
      <c r="G171" s="51"/>
    </row>
    <row r="172" spans="2:7" x14ac:dyDescent="0.2">
      <c r="B172" s="21"/>
      <c r="C172" s="6" t="s">
        <v>367</v>
      </c>
      <c r="D172" s="71"/>
      <c r="E172" s="81"/>
      <c r="F172" s="52"/>
      <c r="G172" s="53"/>
    </row>
    <row r="173" spans="2:7" x14ac:dyDescent="0.2">
      <c r="B173" s="16" t="s">
        <v>368</v>
      </c>
      <c r="C173" s="17" t="s">
        <v>383</v>
      </c>
      <c r="D173" s="70" t="s">
        <v>336</v>
      </c>
      <c r="E173" s="80">
        <v>106.52</v>
      </c>
      <c r="F173" s="50">
        <f>Tabla1[[#This Row],[EFECTIVO]]*1.06</f>
        <v>150.55180000000001</v>
      </c>
      <c r="G173" s="51">
        <v>142.03</v>
      </c>
    </row>
    <row r="174" spans="2:7" x14ac:dyDescent="0.2">
      <c r="B174" s="11" t="s">
        <v>369</v>
      </c>
      <c r="C174" s="12" t="s">
        <v>383</v>
      </c>
      <c r="D174" s="69" t="s">
        <v>336</v>
      </c>
      <c r="E174" s="79">
        <v>103.5</v>
      </c>
      <c r="F174" s="48">
        <f>Tabla1[[#This Row],[EFECTIVO]]*1.06</f>
        <v>146.28</v>
      </c>
      <c r="G174" s="49">
        <v>138</v>
      </c>
    </row>
    <row r="175" spans="2:7" x14ac:dyDescent="0.2">
      <c r="B175" s="16" t="s">
        <v>370</v>
      </c>
      <c r="C175" s="17" t="s">
        <v>384</v>
      </c>
      <c r="D175" s="70" t="s">
        <v>336</v>
      </c>
      <c r="E175" s="80">
        <v>119.3</v>
      </c>
      <c r="F175" s="50">
        <f>Tabla1[[#This Row],[EFECTIVO]]*1.06</f>
        <v>168.61420000000001</v>
      </c>
      <c r="G175" s="51">
        <v>159.07</v>
      </c>
    </row>
    <row r="176" spans="2:7" x14ac:dyDescent="0.2">
      <c r="B176" s="11" t="s">
        <v>371</v>
      </c>
      <c r="C176" s="12" t="s">
        <v>385</v>
      </c>
      <c r="D176" s="69" t="s">
        <v>336</v>
      </c>
      <c r="E176" s="79">
        <v>127.82</v>
      </c>
      <c r="F176" s="48">
        <f>Tabla1[[#This Row],[EFECTIVO]]*1.06</f>
        <v>180.65580000000003</v>
      </c>
      <c r="G176" s="49">
        <v>170.43</v>
      </c>
    </row>
    <row r="177" spans="2:7" x14ac:dyDescent="0.2">
      <c r="B177" s="16" t="s">
        <v>372</v>
      </c>
      <c r="C177" s="17" t="s">
        <v>385</v>
      </c>
      <c r="D177" s="70" t="s">
        <v>336</v>
      </c>
      <c r="E177" s="80">
        <v>123.75</v>
      </c>
      <c r="F177" s="50">
        <f>Tabla1[[#This Row],[EFECTIVO]]*1.06</f>
        <v>174.9</v>
      </c>
      <c r="G177" s="51">
        <v>165</v>
      </c>
    </row>
    <row r="178" spans="2:7" x14ac:dyDescent="0.2">
      <c r="B178" s="11" t="s">
        <v>373</v>
      </c>
      <c r="C178" s="12" t="s">
        <v>386</v>
      </c>
      <c r="D178" s="69" t="s">
        <v>336</v>
      </c>
      <c r="E178" s="79">
        <v>136.34</v>
      </c>
      <c r="F178" s="48">
        <f>Tabla1[[#This Row],[EFECTIVO]]*1.06</f>
        <v>192.69739999999999</v>
      </c>
      <c r="G178" s="49">
        <v>181.79</v>
      </c>
    </row>
    <row r="179" spans="2:7" x14ac:dyDescent="0.2">
      <c r="B179" s="11"/>
      <c r="C179" s="12"/>
      <c r="D179" s="69"/>
      <c r="E179" s="79"/>
      <c r="F179" s="48"/>
      <c r="G179" s="49"/>
    </row>
    <row r="180" spans="2:7" x14ac:dyDescent="0.2">
      <c r="B180" s="21"/>
      <c r="C180" s="6" t="s">
        <v>211</v>
      </c>
      <c r="D180" s="71"/>
      <c r="E180" s="81"/>
      <c r="F180" s="52"/>
      <c r="G180" s="53"/>
    </row>
    <row r="181" spans="2:7" x14ac:dyDescent="0.2">
      <c r="B181" s="11" t="s">
        <v>212</v>
      </c>
      <c r="C181" s="12" t="s">
        <v>215</v>
      </c>
      <c r="D181" s="69" t="s">
        <v>336</v>
      </c>
      <c r="E181" s="79">
        <v>122.466375</v>
      </c>
      <c r="F181" s="48">
        <v>173.9022525</v>
      </c>
      <c r="G181" s="49">
        <v>163.2885</v>
      </c>
    </row>
    <row r="182" spans="2:7" x14ac:dyDescent="0.2">
      <c r="B182" s="16" t="s">
        <v>213</v>
      </c>
      <c r="C182" s="17" t="s">
        <v>216</v>
      </c>
      <c r="D182" s="70" t="s">
        <v>336</v>
      </c>
      <c r="E182" s="80">
        <v>157.39762500000001</v>
      </c>
      <c r="F182" s="50">
        <v>223.50462749999997</v>
      </c>
      <c r="G182" s="51">
        <v>209.86349999999999</v>
      </c>
    </row>
    <row r="183" spans="2:7" x14ac:dyDescent="0.2">
      <c r="B183" s="11" t="s">
        <v>214</v>
      </c>
      <c r="C183" s="12" t="s">
        <v>217</v>
      </c>
      <c r="D183" s="69" t="s">
        <v>336</v>
      </c>
      <c r="E183" s="79">
        <v>166.8075</v>
      </c>
      <c r="F183" s="48">
        <v>236.86664999999999</v>
      </c>
      <c r="G183" s="49">
        <v>222.41</v>
      </c>
    </row>
    <row r="184" spans="2:7" x14ac:dyDescent="0.2">
      <c r="B184" s="16"/>
      <c r="C184" s="17"/>
      <c r="D184" s="70"/>
      <c r="E184" s="80"/>
      <c r="F184" s="50"/>
      <c r="G184" s="51"/>
    </row>
    <row r="185" spans="2:7" x14ac:dyDescent="0.2">
      <c r="B185" s="21"/>
      <c r="C185" s="6" t="s">
        <v>218</v>
      </c>
      <c r="D185" s="71"/>
      <c r="E185" s="81"/>
      <c r="F185" s="52"/>
      <c r="G185" s="53"/>
    </row>
    <row r="186" spans="2:7" x14ac:dyDescent="0.2">
      <c r="B186" s="16" t="s">
        <v>219</v>
      </c>
      <c r="C186" s="17" t="s">
        <v>222</v>
      </c>
      <c r="D186" s="70" t="s">
        <v>336</v>
      </c>
      <c r="E186" s="80">
        <v>160.4135</v>
      </c>
      <c r="F186" s="50">
        <v>227.79125249999998</v>
      </c>
      <c r="G186" s="51">
        <v>213.88849999999999</v>
      </c>
    </row>
    <row r="187" spans="2:7" ht="15.75" customHeight="1" x14ac:dyDescent="0.2">
      <c r="B187" s="11" t="s">
        <v>220</v>
      </c>
      <c r="C187" s="12" t="s">
        <v>223</v>
      </c>
      <c r="D187" s="69" t="s">
        <v>336</v>
      </c>
      <c r="E187" s="79">
        <v>206.36749999999998</v>
      </c>
      <c r="F187" s="48">
        <v>293.04593249999999</v>
      </c>
      <c r="G187" s="49">
        <v>275.16050000000001</v>
      </c>
    </row>
    <row r="188" spans="2:7" x14ac:dyDescent="0.2">
      <c r="B188" s="16" t="s">
        <v>221</v>
      </c>
      <c r="C188" s="17" t="s">
        <v>224</v>
      </c>
      <c r="D188" s="70" t="s">
        <v>336</v>
      </c>
      <c r="E188" s="80">
        <v>227.60799999999998</v>
      </c>
      <c r="F188" s="50">
        <v>323.19927749999994</v>
      </c>
      <c r="G188" s="51">
        <v>303.47349999999994</v>
      </c>
    </row>
    <row r="189" spans="2:7" x14ac:dyDescent="0.2">
      <c r="B189" s="11"/>
      <c r="C189" s="12"/>
      <c r="D189" s="69"/>
      <c r="E189" s="79"/>
      <c r="F189" s="48"/>
      <c r="G189" s="49"/>
    </row>
    <row r="190" spans="2:7" x14ac:dyDescent="0.2">
      <c r="B190" s="21"/>
      <c r="C190" s="6" t="s">
        <v>487</v>
      </c>
      <c r="D190" s="71"/>
      <c r="E190" s="81"/>
      <c r="F190" s="52"/>
      <c r="G190" s="53"/>
    </row>
    <row r="191" spans="2:7" x14ac:dyDescent="0.2">
      <c r="B191" s="11" t="s">
        <v>486</v>
      </c>
      <c r="C191" s="12" t="s">
        <v>488</v>
      </c>
      <c r="D191" s="69" t="s">
        <v>336</v>
      </c>
      <c r="E191" s="79">
        <v>284.0025</v>
      </c>
      <c r="F191" s="48">
        <f>Tabla1[[#This Row],[EFECTIVO]]*1.05</f>
        <v>397.60350000000005</v>
      </c>
      <c r="G191" s="49">
        <v>378.67</v>
      </c>
    </row>
    <row r="192" spans="2:7" x14ac:dyDescent="0.2">
      <c r="B192" s="16"/>
      <c r="C192" s="17"/>
      <c r="D192" s="70"/>
      <c r="E192" s="80"/>
      <c r="F192" s="50"/>
      <c r="G192" s="51"/>
    </row>
    <row r="193" spans="2:7" x14ac:dyDescent="0.2">
      <c r="B193" s="21"/>
      <c r="C193" s="6" t="s">
        <v>485</v>
      </c>
      <c r="D193" s="71"/>
      <c r="E193" s="81"/>
      <c r="F193" s="52"/>
      <c r="G193" s="53"/>
    </row>
    <row r="194" spans="2:7" ht="21" customHeight="1" x14ac:dyDescent="0.2">
      <c r="B194" s="16">
        <v>2447650000</v>
      </c>
      <c r="C194" s="17" t="s">
        <v>497</v>
      </c>
      <c r="D194" s="70" t="s">
        <v>336</v>
      </c>
      <c r="E194" s="80">
        <v>188.876</v>
      </c>
      <c r="F194" s="50">
        <f>Tabla1[[#This Row],[EFECTIVO]]*1.06</f>
        <v>266.94880999999998</v>
      </c>
      <c r="G194" s="51">
        <v>251.83849999999998</v>
      </c>
    </row>
    <row r="195" spans="2:7" x14ac:dyDescent="0.2">
      <c r="B195" s="11">
        <v>2447680000</v>
      </c>
      <c r="C195" s="12" t="s">
        <v>498</v>
      </c>
      <c r="D195" s="69" t="s">
        <v>336</v>
      </c>
      <c r="E195" s="79">
        <v>0</v>
      </c>
      <c r="F195" s="48">
        <f>Tabla1[[#This Row],[EFECTIVO]]*1.06</f>
        <v>0</v>
      </c>
      <c r="G195" s="49">
        <v>0</v>
      </c>
    </row>
    <row r="196" spans="2:7" x14ac:dyDescent="0.2">
      <c r="B196" s="16">
        <v>2447690000</v>
      </c>
      <c r="C196" s="17" t="s">
        <v>499</v>
      </c>
      <c r="D196" s="70" t="s">
        <v>336</v>
      </c>
      <c r="E196" s="80">
        <v>251.79249999999996</v>
      </c>
      <c r="F196" s="50">
        <f>Tabla1[[#This Row],[EFECTIVO]]*1.06</f>
        <v>355.87486000000001</v>
      </c>
      <c r="G196" s="51">
        <v>335.73099999999999</v>
      </c>
    </row>
    <row r="197" spans="2:7" x14ac:dyDescent="0.2">
      <c r="B197" s="11">
        <v>2447710000</v>
      </c>
      <c r="C197" s="12" t="s">
        <v>500</v>
      </c>
      <c r="D197" s="69" t="s">
        <v>336</v>
      </c>
      <c r="E197" s="79">
        <v>284.42950000000002</v>
      </c>
      <c r="F197" s="48">
        <f>Tabla1[[#This Row],[EFECTIVO]]*1.06</f>
        <v>402.00181999999995</v>
      </c>
      <c r="G197" s="49">
        <v>379.24699999999996</v>
      </c>
    </row>
    <row r="198" spans="2:7" x14ac:dyDescent="0.2">
      <c r="B198" s="16">
        <v>2447720000</v>
      </c>
      <c r="C198" s="17" t="s">
        <v>501</v>
      </c>
      <c r="D198" s="70" t="s">
        <v>336</v>
      </c>
      <c r="E198" s="80">
        <v>291.46749999999997</v>
      </c>
      <c r="F198" s="50">
        <f>Tabla1[[#This Row],[EFECTIVO]]*1.06</f>
        <v>411.94885999999997</v>
      </c>
      <c r="G198" s="51">
        <v>388.63099999999997</v>
      </c>
    </row>
    <row r="199" spans="2:7" x14ac:dyDescent="0.2">
      <c r="B199" s="16"/>
      <c r="C199" s="17"/>
      <c r="D199" s="70"/>
      <c r="E199" s="80"/>
      <c r="F199" s="50"/>
      <c r="G199" s="51"/>
    </row>
    <row r="200" spans="2:7" x14ac:dyDescent="0.2">
      <c r="B200" s="21"/>
      <c r="C200" s="6" t="s">
        <v>228</v>
      </c>
      <c r="D200" s="71"/>
      <c r="E200" s="81"/>
      <c r="F200" s="52"/>
      <c r="G200" s="53"/>
    </row>
    <row r="201" spans="2:7" x14ac:dyDescent="0.2">
      <c r="B201" s="16">
        <v>40050356</v>
      </c>
      <c r="C201" s="17" t="s">
        <v>225</v>
      </c>
      <c r="D201" s="70" t="s">
        <v>338</v>
      </c>
      <c r="E201" s="80">
        <v>287.5</v>
      </c>
      <c r="F201" s="50">
        <v>400</v>
      </c>
      <c r="G201" s="51">
        <v>375</v>
      </c>
    </row>
    <row r="202" spans="2:7" x14ac:dyDescent="0.2">
      <c r="B202" s="11">
        <v>40050357</v>
      </c>
      <c r="C202" s="12" t="s">
        <v>226</v>
      </c>
      <c r="D202" s="69" t="s">
        <v>338</v>
      </c>
      <c r="E202" s="79">
        <v>394.45</v>
      </c>
      <c r="F202" s="48">
        <v>550</v>
      </c>
      <c r="G202" s="49">
        <v>500</v>
      </c>
    </row>
    <row r="203" spans="2:7" x14ac:dyDescent="0.2">
      <c r="B203" s="16">
        <v>40050358</v>
      </c>
      <c r="C203" s="17" t="s">
        <v>227</v>
      </c>
      <c r="D203" s="70" t="s">
        <v>338</v>
      </c>
      <c r="E203" s="80">
        <v>402.5</v>
      </c>
      <c r="F203" s="50">
        <v>560</v>
      </c>
      <c r="G203" s="51">
        <v>510</v>
      </c>
    </row>
    <row r="204" spans="2:7" x14ac:dyDescent="0.2">
      <c r="B204" s="21"/>
      <c r="C204" s="6" t="s">
        <v>229</v>
      </c>
      <c r="D204" s="71"/>
      <c r="E204" s="81"/>
      <c r="F204" s="52"/>
      <c r="G204" s="53"/>
    </row>
    <row r="205" spans="2:7" x14ac:dyDescent="0.2">
      <c r="B205" s="16">
        <v>40050364</v>
      </c>
      <c r="C205" s="17" t="s">
        <v>230</v>
      </c>
      <c r="D205" s="70" t="s">
        <v>339</v>
      </c>
      <c r="E205" s="80">
        <v>264.5</v>
      </c>
      <c r="F205" s="50">
        <v>392</v>
      </c>
      <c r="G205" s="51">
        <v>345</v>
      </c>
    </row>
    <row r="206" spans="2:7" x14ac:dyDescent="0.2">
      <c r="B206" s="11">
        <v>40050340</v>
      </c>
      <c r="C206" s="12" t="s">
        <v>231</v>
      </c>
      <c r="D206" s="69" t="s">
        <v>339</v>
      </c>
      <c r="E206" s="79">
        <v>317.39999999999998</v>
      </c>
      <c r="F206" s="48">
        <v>466</v>
      </c>
      <c r="G206" s="49">
        <v>420</v>
      </c>
    </row>
    <row r="207" spans="2:7" x14ac:dyDescent="0.2">
      <c r="B207" s="16">
        <v>40050355</v>
      </c>
      <c r="C207" s="17" t="s">
        <v>232</v>
      </c>
      <c r="D207" s="70" t="s">
        <v>339</v>
      </c>
      <c r="E207" s="80">
        <v>345</v>
      </c>
      <c r="F207" s="50">
        <v>483</v>
      </c>
      <c r="G207" s="51">
        <v>460</v>
      </c>
    </row>
    <row r="208" spans="2:7" x14ac:dyDescent="0.2">
      <c r="B208" s="11"/>
      <c r="C208" s="12"/>
      <c r="D208" s="69"/>
      <c r="E208" s="79"/>
      <c r="F208" s="48"/>
      <c r="G208" s="49"/>
    </row>
    <row r="209" spans="2:7" x14ac:dyDescent="0.2">
      <c r="B209" s="21"/>
      <c r="C209" s="6" t="s">
        <v>233</v>
      </c>
      <c r="D209" s="71"/>
      <c r="E209" s="81"/>
      <c r="F209" s="52"/>
      <c r="G209" s="53"/>
    </row>
    <row r="210" spans="2:7" x14ac:dyDescent="0.2">
      <c r="B210" s="11">
        <v>2446540000</v>
      </c>
      <c r="C210" s="12" t="s">
        <v>234</v>
      </c>
      <c r="D210" s="69" t="s">
        <v>338</v>
      </c>
      <c r="E210" s="79">
        <v>206.10299999999998</v>
      </c>
      <c r="F210" s="48">
        <v>292.66625999999997</v>
      </c>
      <c r="G210" s="49">
        <v>274.80399999999997</v>
      </c>
    </row>
    <row r="211" spans="2:7" x14ac:dyDescent="0.2">
      <c r="B211" s="16">
        <v>2446560000</v>
      </c>
      <c r="C211" s="17" t="s">
        <v>235</v>
      </c>
      <c r="D211" s="70" t="s">
        <v>338</v>
      </c>
      <c r="E211" s="80">
        <v>286.47649999999999</v>
      </c>
      <c r="F211" s="50">
        <v>406.78846499999992</v>
      </c>
      <c r="G211" s="51">
        <v>381.96099999999996</v>
      </c>
    </row>
    <row r="212" spans="2:7" x14ac:dyDescent="0.2">
      <c r="B212" s="11">
        <v>2446570000</v>
      </c>
      <c r="C212" s="12" t="s">
        <v>236</v>
      </c>
      <c r="D212" s="69" t="s">
        <v>338</v>
      </c>
      <c r="E212" s="79">
        <v>306.084</v>
      </c>
      <c r="F212" s="48">
        <v>434.63927999999993</v>
      </c>
      <c r="G212" s="49">
        <v>408.11199999999997</v>
      </c>
    </row>
    <row r="213" spans="2:7" x14ac:dyDescent="0.2">
      <c r="B213" s="16"/>
      <c r="C213" s="17"/>
      <c r="D213" s="70"/>
      <c r="E213" s="80"/>
      <c r="F213" s="50"/>
      <c r="G213" s="51"/>
    </row>
    <row r="214" spans="2:7" x14ac:dyDescent="0.2">
      <c r="B214" s="21"/>
      <c r="C214" s="6" t="s">
        <v>496</v>
      </c>
      <c r="D214" s="71"/>
      <c r="E214" s="81"/>
      <c r="F214" s="52"/>
      <c r="G214" s="53"/>
    </row>
    <row r="215" spans="2:7" x14ac:dyDescent="0.2">
      <c r="B215" s="16">
        <v>2446580000</v>
      </c>
      <c r="C215" s="17" t="s">
        <v>492</v>
      </c>
      <c r="D215" s="70" t="s">
        <v>337</v>
      </c>
      <c r="E215" s="80">
        <v>160.01685267857141</v>
      </c>
      <c r="F215" s="50">
        <f>Tabla1[[#This Row],[EFECTIVO]]*1.04</f>
        <v>221.89003571428569</v>
      </c>
      <c r="G215" s="51">
        <v>213.35580357142854</v>
      </c>
    </row>
    <row r="216" spans="2:7" x14ac:dyDescent="0.2">
      <c r="B216" s="11">
        <v>2446590000</v>
      </c>
      <c r="C216" s="12" t="s">
        <v>493</v>
      </c>
      <c r="D216" s="69" t="s">
        <v>337</v>
      </c>
      <c r="E216" s="79">
        <v>224.76595982142857</v>
      </c>
      <c r="F216" s="48">
        <f>Tabla1[[#This Row],[EFECTIVO]]*1.04</f>
        <v>311.67546428571427</v>
      </c>
      <c r="G216" s="49">
        <v>299.68794642857142</v>
      </c>
    </row>
    <row r="217" spans="2:7" x14ac:dyDescent="0.2">
      <c r="B217" s="16">
        <v>2446610000</v>
      </c>
      <c r="C217" s="17" t="s">
        <v>494</v>
      </c>
      <c r="D217" s="70" t="s">
        <v>337</v>
      </c>
      <c r="E217" s="80">
        <v>236.32499999999993</v>
      </c>
      <c r="F217" s="50">
        <f>Tabla1[[#This Row],[EFECTIVO]]*1.04</f>
        <v>327.70399999999989</v>
      </c>
      <c r="G217" s="51">
        <v>315.09999999999991</v>
      </c>
    </row>
    <row r="218" spans="2:7" x14ac:dyDescent="0.2">
      <c r="B218" s="11">
        <v>2446620000</v>
      </c>
      <c r="C218" s="12" t="s">
        <v>495</v>
      </c>
      <c r="D218" s="69" t="s">
        <v>337</v>
      </c>
      <c r="E218" s="79">
        <v>255.20758928571425</v>
      </c>
      <c r="F218" s="48">
        <f>Tabla1[[#This Row],[EFECTIVO]]*1.04</f>
        <v>353.88785714285711</v>
      </c>
      <c r="G218" s="49">
        <v>340.27678571428567</v>
      </c>
    </row>
    <row r="219" spans="2:7" x14ac:dyDescent="0.2">
      <c r="B219" s="40"/>
      <c r="C219" s="41"/>
      <c r="D219" s="72"/>
      <c r="E219" s="54"/>
      <c r="F219" s="54"/>
      <c r="G219" s="55"/>
    </row>
    <row r="220" spans="2:7" x14ac:dyDescent="0.2">
      <c r="B220" s="40"/>
      <c r="C220" s="41"/>
      <c r="D220" s="72"/>
      <c r="E220" s="54"/>
      <c r="F220" s="54"/>
      <c r="G220" s="55"/>
    </row>
    <row r="221" spans="2:7" x14ac:dyDescent="0.2">
      <c r="B221" s="42"/>
      <c r="C221" s="43"/>
      <c r="D221" s="73"/>
      <c r="E221" s="82"/>
      <c r="F221" s="56"/>
      <c r="G221" s="57"/>
    </row>
    <row r="222" spans="2:7" x14ac:dyDescent="0.2">
      <c r="B222" s="21"/>
      <c r="C222" s="6" t="s">
        <v>237</v>
      </c>
      <c r="D222" s="71"/>
      <c r="E222" s="81"/>
      <c r="F222" s="52"/>
      <c r="G222" s="53"/>
    </row>
    <row r="223" spans="2:7" x14ac:dyDescent="0.2">
      <c r="B223" s="16" t="s">
        <v>405</v>
      </c>
      <c r="C223" s="17" t="s">
        <v>402</v>
      </c>
      <c r="D223" s="70" t="s">
        <v>341</v>
      </c>
      <c r="E223" s="80">
        <v>203.81</v>
      </c>
      <c r="F223" s="50">
        <v>317</v>
      </c>
      <c r="G223" s="51">
        <v>299</v>
      </c>
    </row>
    <row r="224" spans="2:7" x14ac:dyDescent="0.2">
      <c r="B224" s="11" t="s">
        <v>406</v>
      </c>
      <c r="C224" s="12" t="s">
        <v>403</v>
      </c>
      <c r="D224" s="69" t="s">
        <v>341</v>
      </c>
      <c r="E224" s="79">
        <v>283.47000000000003</v>
      </c>
      <c r="F224" s="48">
        <v>385</v>
      </c>
      <c r="G224" s="49">
        <v>365</v>
      </c>
    </row>
    <row r="225" spans="2:7" x14ac:dyDescent="0.2">
      <c r="B225" s="16" t="s">
        <v>407</v>
      </c>
      <c r="C225" s="17" t="s">
        <v>404</v>
      </c>
      <c r="D225" s="70" t="s">
        <v>341</v>
      </c>
      <c r="E225" s="80">
        <v>326.42</v>
      </c>
      <c r="F225" s="50">
        <v>510</v>
      </c>
      <c r="G225" s="51">
        <v>480</v>
      </c>
    </row>
    <row r="226" spans="2:7" x14ac:dyDescent="0.2">
      <c r="B226" s="11"/>
      <c r="C226" s="12"/>
      <c r="D226" s="69"/>
      <c r="E226" s="79"/>
      <c r="F226" s="48"/>
      <c r="G226" s="49"/>
    </row>
    <row r="227" spans="2:7" x14ac:dyDescent="0.2">
      <c r="B227" s="5"/>
      <c r="C227" s="6" t="s">
        <v>238</v>
      </c>
      <c r="D227" s="68"/>
      <c r="E227" s="78"/>
      <c r="F227" s="46"/>
      <c r="G227" s="47"/>
    </row>
    <row r="228" spans="2:7" x14ac:dyDescent="0.2">
      <c r="B228" s="11"/>
      <c r="C228" s="12">
        <v>120</v>
      </c>
      <c r="D228" s="69" t="s">
        <v>341</v>
      </c>
      <c r="E228" s="79"/>
      <c r="F228" s="48"/>
      <c r="G228" s="49">
        <v>350</v>
      </c>
    </row>
    <row r="229" spans="2:7" x14ac:dyDescent="0.2">
      <c r="B229" s="16"/>
      <c r="C229" s="17">
        <v>180</v>
      </c>
      <c r="D229" s="70" t="s">
        <v>341</v>
      </c>
      <c r="E229" s="80"/>
      <c r="F229" s="50"/>
      <c r="G229" s="51">
        <v>450</v>
      </c>
    </row>
    <row r="230" spans="2:7" x14ac:dyDescent="0.2">
      <c r="B230" s="11"/>
      <c r="C230" s="12">
        <v>200</v>
      </c>
      <c r="D230" s="69" t="s">
        <v>341</v>
      </c>
      <c r="E230" s="79"/>
      <c r="F230" s="48"/>
      <c r="G230" s="49">
        <v>500</v>
      </c>
    </row>
    <row r="231" spans="2:7" x14ac:dyDescent="0.2">
      <c r="B231" s="21"/>
      <c r="C231" s="6" t="s">
        <v>243</v>
      </c>
      <c r="D231" s="71"/>
      <c r="E231" s="81"/>
      <c r="F231" s="52"/>
      <c r="G231" s="53"/>
    </row>
    <row r="232" spans="2:7" x14ac:dyDescent="0.2">
      <c r="B232" s="16">
        <v>2447730000</v>
      </c>
      <c r="C232" s="17" t="s">
        <v>489</v>
      </c>
      <c r="D232" s="70" t="s">
        <v>339</v>
      </c>
      <c r="E232" s="80">
        <v>157.41999999999999</v>
      </c>
      <c r="F232" s="50">
        <v>224</v>
      </c>
      <c r="G232" s="51">
        <v>210</v>
      </c>
    </row>
    <row r="233" spans="2:7" x14ac:dyDescent="0.2">
      <c r="B233" s="11">
        <v>2447750000</v>
      </c>
      <c r="C233" s="12" t="s">
        <v>490</v>
      </c>
      <c r="D233" s="69" t="s">
        <v>339</v>
      </c>
      <c r="E233" s="79">
        <v>235.91</v>
      </c>
      <c r="F233" s="48">
        <v>335</v>
      </c>
      <c r="G233" s="49">
        <v>315</v>
      </c>
    </row>
    <row r="234" spans="2:7" x14ac:dyDescent="0.2">
      <c r="B234" s="16">
        <v>2447760000</v>
      </c>
      <c r="C234" s="17" t="s">
        <v>491</v>
      </c>
      <c r="D234" s="70" t="s">
        <v>339</v>
      </c>
      <c r="E234" s="80">
        <v>249.08</v>
      </c>
      <c r="F234" s="50">
        <v>354</v>
      </c>
      <c r="G234" s="51">
        <v>332</v>
      </c>
    </row>
    <row r="235" spans="2:7" x14ac:dyDescent="0.2">
      <c r="B235" s="16"/>
      <c r="C235" s="17"/>
      <c r="D235" s="70"/>
      <c r="E235" s="80"/>
      <c r="F235" s="50"/>
      <c r="G235" s="51"/>
    </row>
    <row r="236" spans="2:7" x14ac:dyDescent="0.2">
      <c r="B236" s="21"/>
      <c r="C236" s="6" t="s">
        <v>289</v>
      </c>
      <c r="D236" s="71"/>
      <c r="E236" s="81"/>
      <c r="F236" s="52"/>
      <c r="G236" s="53"/>
    </row>
    <row r="237" spans="2:7" x14ac:dyDescent="0.2">
      <c r="B237" s="16">
        <v>325331</v>
      </c>
      <c r="C237" s="17" t="s">
        <v>290</v>
      </c>
      <c r="D237" s="70" t="s">
        <v>337</v>
      </c>
      <c r="E237" s="80">
        <v>107.8056</v>
      </c>
      <c r="F237" s="50">
        <v>143.51620499999999</v>
      </c>
      <c r="G237" s="51">
        <v>134.75700000000001</v>
      </c>
    </row>
    <row r="238" spans="2:7" x14ac:dyDescent="0.2">
      <c r="B238" s="11">
        <v>328865</v>
      </c>
      <c r="C238" s="12" t="s">
        <v>291</v>
      </c>
      <c r="D238" s="69" t="s">
        <v>337</v>
      </c>
      <c r="E238" s="79">
        <v>118.63399999999999</v>
      </c>
      <c r="F238" s="48">
        <v>158.16314999999997</v>
      </c>
      <c r="G238" s="49">
        <v>148.51</v>
      </c>
    </row>
    <row r="239" spans="2:7" x14ac:dyDescent="0.2">
      <c r="B239" s="16">
        <v>325334</v>
      </c>
      <c r="C239" s="17" t="s">
        <v>292</v>
      </c>
      <c r="D239" s="70" t="s">
        <v>337</v>
      </c>
      <c r="E239" s="80">
        <v>163.01249999999999</v>
      </c>
      <c r="F239" s="50">
        <v>217.01039062499996</v>
      </c>
      <c r="G239" s="51">
        <v>203.76562499999997</v>
      </c>
    </row>
    <row r="240" spans="2:7" x14ac:dyDescent="0.2">
      <c r="B240" s="11">
        <v>325332</v>
      </c>
      <c r="C240" s="12" t="s">
        <v>293</v>
      </c>
      <c r="D240" s="69" t="s">
        <v>337</v>
      </c>
      <c r="E240" s="79">
        <v>140.15452499999998</v>
      </c>
      <c r="F240" s="48">
        <v>186.91814999999997</v>
      </c>
      <c r="G240" s="49">
        <v>175.51</v>
      </c>
    </row>
    <row r="241" spans="2:7" x14ac:dyDescent="0.2">
      <c r="B241" s="16">
        <v>325336</v>
      </c>
      <c r="C241" s="17" t="s">
        <v>294</v>
      </c>
      <c r="D241" s="70" t="s">
        <v>337</v>
      </c>
      <c r="E241" s="80">
        <v>231.72499999999999</v>
      </c>
      <c r="F241" s="50">
        <v>308.48390624999996</v>
      </c>
      <c r="G241" s="51">
        <v>289.65625</v>
      </c>
    </row>
    <row r="242" spans="2:7" x14ac:dyDescent="0.2">
      <c r="B242" s="11">
        <v>325337</v>
      </c>
      <c r="C242" s="12" t="s">
        <v>295</v>
      </c>
      <c r="D242" s="69" t="s">
        <v>337</v>
      </c>
      <c r="E242" s="79">
        <v>245.52499999999998</v>
      </c>
      <c r="F242" s="48">
        <v>326.85515624999999</v>
      </c>
      <c r="G242" s="49">
        <v>306.90625</v>
      </c>
    </row>
    <row r="243" spans="2:7" x14ac:dyDescent="0.2">
      <c r="B243" s="16"/>
      <c r="C243" s="17"/>
      <c r="D243" s="70"/>
      <c r="E243" s="80"/>
      <c r="F243" s="50"/>
      <c r="G243" s="51"/>
    </row>
    <row r="244" spans="2:7" x14ac:dyDescent="0.2">
      <c r="B244" s="21"/>
      <c r="C244" s="6" t="s">
        <v>296</v>
      </c>
      <c r="D244" s="71"/>
      <c r="E244" s="81"/>
      <c r="F244" s="52"/>
      <c r="G244" s="53"/>
    </row>
    <row r="245" spans="2:7" x14ac:dyDescent="0.2">
      <c r="B245" s="16">
        <v>327307</v>
      </c>
      <c r="C245" s="17" t="s">
        <v>297</v>
      </c>
      <c r="D245" s="70" t="s">
        <v>337</v>
      </c>
      <c r="E245" s="80">
        <v>166.75</v>
      </c>
      <c r="F245" s="50">
        <v>222.06314999999998</v>
      </c>
      <c r="G245" s="51">
        <v>208.51</v>
      </c>
    </row>
    <row r="246" spans="2:7" x14ac:dyDescent="0.2">
      <c r="B246" s="11">
        <v>327316</v>
      </c>
      <c r="C246" s="12" t="s">
        <v>298</v>
      </c>
      <c r="D246" s="69" t="s">
        <v>337</v>
      </c>
      <c r="E246" s="79">
        <v>212.14049999999997</v>
      </c>
      <c r="F246" s="48">
        <v>282.76814999999999</v>
      </c>
      <c r="G246" s="49">
        <v>265.51</v>
      </c>
    </row>
    <row r="247" spans="2:7" x14ac:dyDescent="0.2">
      <c r="B247" s="16">
        <v>327318</v>
      </c>
      <c r="C247" s="17" t="s">
        <v>299</v>
      </c>
      <c r="D247" s="70" t="s">
        <v>337</v>
      </c>
      <c r="E247" s="80">
        <v>247.82499999999999</v>
      </c>
      <c r="F247" s="50">
        <v>329.91703124999998</v>
      </c>
      <c r="G247" s="51">
        <v>309.78125</v>
      </c>
    </row>
    <row r="248" spans="2:7" x14ac:dyDescent="0.2">
      <c r="B248" s="11">
        <v>327319</v>
      </c>
      <c r="C248" s="12" t="s">
        <v>300</v>
      </c>
      <c r="D248" s="69" t="s">
        <v>337</v>
      </c>
      <c r="E248" s="79">
        <v>259.32499999999999</v>
      </c>
      <c r="F248" s="48">
        <v>345.60314999999997</v>
      </c>
      <c r="G248" s="49">
        <v>324.51</v>
      </c>
    </row>
    <row r="249" spans="2:7" x14ac:dyDescent="0.2">
      <c r="B249" s="11"/>
      <c r="C249" s="12"/>
      <c r="D249" s="69"/>
      <c r="E249" s="79"/>
      <c r="F249" s="48"/>
      <c r="G249" s="49"/>
    </row>
    <row r="250" spans="2:7" x14ac:dyDescent="0.2">
      <c r="B250" s="21"/>
      <c r="C250" s="6" t="s">
        <v>304</v>
      </c>
      <c r="D250" s="71"/>
      <c r="E250" s="81"/>
      <c r="F250" s="52"/>
      <c r="G250" s="53"/>
    </row>
    <row r="251" spans="2:7" x14ac:dyDescent="0.2">
      <c r="B251" s="11">
        <v>357456</v>
      </c>
      <c r="C251" s="12" t="s">
        <v>305</v>
      </c>
      <c r="D251" s="69" t="s">
        <v>340</v>
      </c>
      <c r="E251" s="79">
        <v>123.45249999999999</v>
      </c>
      <c r="F251" s="48">
        <v>164.55314999999999</v>
      </c>
      <c r="G251" s="49">
        <v>154.51</v>
      </c>
    </row>
    <row r="252" spans="2:7" x14ac:dyDescent="0.2">
      <c r="B252" s="16">
        <v>338325</v>
      </c>
      <c r="C252" s="17" t="s">
        <v>306</v>
      </c>
      <c r="D252" s="70" t="s">
        <v>340</v>
      </c>
      <c r="E252" s="80">
        <v>214.30249999999998</v>
      </c>
      <c r="F252" s="50">
        <v>274.24814999999995</v>
      </c>
      <c r="G252" s="51">
        <v>257.51</v>
      </c>
    </row>
    <row r="253" spans="2:7" x14ac:dyDescent="0.2">
      <c r="B253" s="11">
        <v>319403</v>
      </c>
      <c r="C253" s="12" t="s">
        <v>307</v>
      </c>
      <c r="D253" s="69" t="s">
        <v>340</v>
      </c>
      <c r="E253" s="79">
        <v>142.07430625000001</v>
      </c>
      <c r="F253" s="48">
        <v>189.1364201953125</v>
      </c>
      <c r="G253" s="49">
        <v>177.59288281249999</v>
      </c>
    </row>
    <row r="254" spans="2:7" x14ac:dyDescent="0.2">
      <c r="B254" s="16">
        <v>357459</v>
      </c>
      <c r="C254" s="17" t="s">
        <v>308</v>
      </c>
      <c r="D254" s="70" t="s">
        <v>340</v>
      </c>
      <c r="E254" s="80">
        <v>142.07430625000001</v>
      </c>
      <c r="F254" s="50">
        <v>189.1364201953125</v>
      </c>
      <c r="G254" s="51">
        <v>177.59288281249999</v>
      </c>
    </row>
    <row r="255" spans="2:7" x14ac:dyDescent="0.2">
      <c r="B255" s="11">
        <v>355508</v>
      </c>
      <c r="C255" s="12" t="s">
        <v>309</v>
      </c>
      <c r="D255" s="69" t="s">
        <v>340</v>
      </c>
      <c r="E255" s="79">
        <v>378.70649999999995</v>
      </c>
      <c r="F255" s="48">
        <v>504.28814999999997</v>
      </c>
      <c r="G255" s="49">
        <v>473.51</v>
      </c>
    </row>
    <row r="256" spans="2:7" x14ac:dyDescent="0.2">
      <c r="B256" s="21"/>
      <c r="C256" s="6" t="s">
        <v>410</v>
      </c>
      <c r="D256" s="71"/>
      <c r="E256" s="81"/>
      <c r="F256" s="52"/>
      <c r="G256" s="53"/>
    </row>
    <row r="257" spans="2:10" x14ac:dyDescent="0.2">
      <c r="B257" s="16" t="s">
        <v>411</v>
      </c>
      <c r="C257" s="17" t="s">
        <v>383</v>
      </c>
      <c r="D257" s="70" t="s">
        <v>337</v>
      </c>
      <c r="E257" s="80">
        <v>126.75731250000001</v>
      </c>
      <c r="F257" s="50">
        <f>Tabla1[[#This Row],[EFECTIVO]]*1.06</f>
        <v>179.15033500000004</v>
      </c>
      <c r="G257" s="51">
        <v>169.00975000000003</v>
      </c>
    </row>
    <row r="258" spans="2:10" x14ac:dyDescent="0.2">
      <c r="B258" s="11" t="s">
        <v>412</v>
      </c>
      <c r="C258" s="12" t="s">
        <v>384</v>
      </c>
      <c r="D258" s="69" t="s">
        <v>337</v>
      </c>
      <c r="E258" s="79">
        <v>140.60474999999997</v>
      </c>
      <c r="F258" s="48">
        <f>Tabla1[[#This Row],[EFECTIVO]]*1.06</f>
        <v>198.72137999999995</v>
      </c>
      <c r="G258" s="49">
        <v>187.47299999999996</v>
      </c>
    </row>
    <row r="259" spans="2:10" x14ac:dyDescent="0.2">
      <c r="B259" s="16" t="s">
        <v>413</v>
      </c>
      <c r="C259" s="17" t="s">
        <v>385</v>
      </c>
      <c r="D259" s="70" t="s">
        <v>337</v>
      </c>
      <c r="E259" s="80">
        <v>140.60474999999997</v>
      </c>
      <c r="F259" s="50">
        <f>Tabla1[[#This Row],[EFECTIVO]]*1.06</f>
        <v>198.72137999999995</v>
      </c>
      <c r="G259" s="51">
        <v>187.47299999999996</v>
      </c>
    </row>
    <row r="260" spans="2:10" x14ac:dyDescent="0.2">
      <c r="B260" s="11" t="s">
        <v>414</v>
      </c>
      <c r="C260" s="12" t="s">
        <v>386</v>
      </c>
      <c r="D260" s="69" t="s">
        <v>337</v>
      </c>
      <c r="E260" s="79">
        <v>153.38699999999997</v>
      </c>
      <c r="F260" s="48">
        <f>Tabla1[[#This Row],[EFECTIVO]]*1.06</f>
        <v>216.78695999999997</v>
      </c>
      <c r="G260" s="49">
        <v>204.51599999999996</v>
      </c>
    </row>
    <row r="261" spans="2:10" x14ac:dyDescent="0.2">
      <c r="B261" s="16" t="s">
        <v>415</v>
      </c>
      <c r="C261" s="17" t="s">
        <v>416</v>
      </c>
      <c r="D261" s="70" t="s">
        <v>337</v>
      </c>
      <c r="E261" s="80">
        <v>177.8863125</v>
      </c>
      <c r="F261" s="50">
        <f>Tabla1[[#This Row],[EFECTIVO]]*1.06</f>
        <v>251.412655</v>
      </c>
      <c r="G261" s="51">
        <v>237.18174999999999</v>
      </c>
    </row>
    <row r="262" spans="2:10" x14ac:dyDescent="0.2">
      <c r="B262" s="11"/>
      <c r="C262" s="12"/>
      <c r="D262" s="69"/>
      <c r="E262" s="79"/>
      <c r="F262" s="48"/>
      <c r="G262" s="49"/>
    </row>
    <row r="263" spans="2:10" x14ac:dyDescent="0.2">
      <c r="B263" s="21"/>
      <c r="C263" s="6" t="s">
        <v>417</v>
      </c>
      <c r="D263" s="71"/>
      <c r="E263" s="81"/>
      <c r="F263" s="52"/>
      <c r="G263" s="53"/>
    </row>
    <row r="264" spans="2:10" x14ac:dyDescent="0.2">
      <c r="B264" s="11" t="s">
        <v>418</v>
      </c>
      <c r="C264" s="12" t="s">
        <v>424</v>
      </c>
      <c r="D264" s="69" t="s">
        <v>338</v>
      </c>
      <c r="E264" s="79">
        <v>112.49250000000001</v>
      </c>
      <c r="F264" s="48">
        <f>Tabla1[[#This Row],[EFECTIVO]]*1.06</f>
        <v>158.98940000000002</v>
      </c>
      <c r="G264" s="49">
        <v>149.99</v>
      </c>
    </row>
    <row r="265" spans="2:10" x14ac:dyDescent="0.2">
      <c r="B265" s="16" t="s">
        <v>419</v>
      </c>
      <c r="C265" s="17" t="s">
        <v>383</v>
      </c>
      <c r="D265" s="70" t="s">
        <v>338</v>
      </c>
      <c r="E265" s="80">
        <v>132.08324999999999</v>
      </c>
      <c r="F265" s="50">
        <f>Tabla1[[#This Row],[EFECTIVO]]*1.06</f>
        <v>186.67766</v>
      </c>
      <c r="G265" s="51">
        <v>176.11099999999999</v>
      </c>
    </row>
    <row r="266" spans="2:10" x14ac:dyDescent="0.2">
      <c r="B266" s="11" t="s">
        <v>420</v>
      </c>
      <c r="C266" s="12" t="s">
        <v>425</v>
      </c>
      <c r="D266" s="69" t="s">
        <v>338</v>
      </c>
      <c r="E266" s="79">
        <v>142.4025</v>
      </c>
      <c r="F266" s="48">
        <f>Tabla1[[#This Row],[EFECTIVO]]*1.06</f>
        <v>201.26220000000001</v>
      </c>
      <c r="G266" s="49">
        <v>189.87</v>
      </c>
    </row>
    <row r="267" spans="2:10" x14ac:dyDescent="0.2">
      <c r="B267" s="16" t="s">
        <v>421</v>
      </c>
      <c r="C267" s="17" t="s">
        <v>426</v>
      </c>
      <c r="D267" s="70" t="s">
        <v>338</v>
      </c>
      <c r="E267" s="80">
        <v>178.73899509374996</v>
      </c>
      <c r="F267" s="50">
        <f>Tabla1[[#This Row],[EFECTIVO]]*1.06</f>
        <v>252.61777973249997</v>
      </c>
      <c r="G267" s="51">
        <v>238.31866012499995</v>
      </c>
      <c r="J267" s="37"/>
    </row>
    <row r="268" spans="2:10" x14ac:dyDescent="0.2">
      <c r="B268" s="11" t="s">
        <v>422</v>
      </c>
      <c r="C268" s="12" t="s">
        <v>427</v>
      </c>
      <c r="D268" s="69" t="s">
        <v>338</v>
      </c>
      <c r="E268" s="79">
        <v>183.21224999999998</v>
      </c>
      <c r="F268" s="48">
        <f>Tabla1[[#This Row],[EFECTIVO]]*1.06</f>
        <v>258.93997999999999</v>
      </c>
      <c r="G268" s="49">
        <v>244.28299999999999</v>
      </c>
    </row>
    <row r="269" spans="2:10" x14ac:dyDescent="0.2">
      <c r="B269" s="16" t="s">
        <v>423</v>
      </c>
      <c r="C269" s="17" t="s">
        <v>416</v>
      </c>
      <c r="D269" s="70" t="s">
        <v>338</v>
      </c>
      <c r="E269" s="80">
        <v>185.57270549999998</v>
      </c>
      <c r="F269" s="50">
        <f>Tabla1[[#This Row],[EFECTIVO]]*1.06</f>
        <v>262.27609043999996</v>
      </c>
      <c r="G269" s="51">
        <v>247.43027399999997</v>
      </c>
    </row>
    <row r="270" spans="2:10" x14ac:dyDescent="0.2">
      <c r="B270" s="11"/>
      <c r="C270" s="12"/>
      <c r="D270" s="69"/>
      <c r="E270" s="79"/>
      <c r="F270" s="48"/>
      <c r="G270" s="49"/>
    </row>
    <row r="271" spans="2:10" x14ac:dyDescent="0.2">
      <c r="B271" s="21"/>
      <c r="C271" s="6" t="s">
        <v>68</v>
      </c>
      <c r="D271" s="71"/>
      <c r="E271" s="81"/>
      <c r="F271" s="52"/>
      <c r="G271" s="53"/>
    </row>
    <row r="272" spans="2:10" x14ac:dyDescent="0.2">
      <c r="B272" s="16">
        <v>40080186</v>
      </c>
      <c r="C272" s="17" t="s">
        <v>69</v>
      </c>
      <c r="D272" s="70" t="s">
        <v>59</v>
      </c>
      <c r="E272" s="80">
        <v>31.63</v>
      </c>
      <c r="F272" s="50">
        <v>45</v>
      </c>
      <c r="G272" s="51">
        <v>43</v>
      </c>
    </row>
    <row r="273" spans="2:7" x14ac:dyDescent="0.2">
      <c r="B273" s="11">
        <v>40080190</v>
      </c>
      <c r="C273" s="12" t="s">
        <v>70</v>
      </c>
      <c r="D273" s="69" t="s">
        <v>59</v>
      </c>
      <c r="E273" s="79">
        <v>36.799999999999997</v>
      </c>
      <c r="F273" s="48">
        <v>55</v>
      </c>
      <c r="G273" s="49">
        <v>53</v>
      </c>
    </row>
    <row r="274" spans="2:7" x14ac:dyDescent="0.2">
      <c r="B274" s="16">
        <v>40080194</v>
      </c>
      <c r="C274" s="17" t="s">
        <v>71</v>
      </c>
      <c r="D274" s="70" t="s">
        <v>59</v>
      </c>
      <c r="E274" s="80">
        <v>37.03</v>
      </c>
      <c r="F274" s="50">
        <v>55</v>
      </c>
      <c r="G274" s="51">
        <v>53</v>
      </c>
    </row>
    <row r="275" spans="2:7" x14ac:dyDescent="0.2">
      <c r="B275" s="11">
        <v>40080182</v>
      </c>
      <c r="C275" s="12" t="s">
        <v>72</v>
      </c>
      <c r="D275" s="69" t="s">
        <v>59</v>
      </c>
      <c r="E275" s="79">
        <v>29.9</v>
      </c>
      <c r="F275" s="48">
        <v>45</v>
      </c>
      <c r="G275" s="49">
        <v>42</v>
      </c>
    </row>
    <row r="276" spans="2:7" x14ac:dyDescent="0.2">
      <c r="B276" s="16">
        <v>40080193</v>
      </c>
      <c r="C276" s="17" t="s">
        <v>73</v>
      </c>
      <c r="D276" s="70" t="s">
        <v>59</v>
      </c>
      <c r="E276" s="80">
        <v>35.65</v>
      </c>
      <c r="F276" s="50">
        <v>55</v>
      </c>
      <c r="G276" s="51">
        <v>50</v>
      </c>
    </row>
    <row r="277" spans="2:7" x14ac:dyDescent="0.2">
      <c r="B277" s="11">
        <v>40080177</v>
      </c>
      <c r="C277" s="12" t="s">
        <v>74</v>
      </c>
      <c r="D277" s="69" t="s">
        <v>59</v>
      </c>
      <c r="E277" s="79">
        <v>47.15</v>
      </c>
      <c r="F277" s="48">
        <v>70</v>
      </c>
      <c r="G277" s="49">
        <v>68</v>
      </c>
    </row>
    <row r="278" spans="2:7" x14ac:dyDescent="0.2">
      <c r="B278" s="16">
        <v>40080211</v>
      </c>
      <c r="C278" s="17" t="s">
        <v>75</v>
      </c>
      <c r="D278" s="70" t="s">
        <v>59</v>
      </c>
      <c r="E278" s="80">
        <v>36.799999999999997</v>
      </c>
      <c r="F278" s="50">
        <v>55</v>
      </c>
      <c r="G278" s="51">
        <v>50</v>
      </c>
    </row>
    <row r="279" spans="2:7" x14ac:dyDescent="0.2">
      <c r="B279" s="11">
        <v>40080228</v>
      </c>
      <c r="C279" s="12" t="s">
        <v>76</v>
      </c>
      <c r="D279" s="69" t="s">
        <v>59</v>
      </c>
      <c r="E279" s="79"/>
      <c r="F279" s="48">
        <v>63</v>
      </c>
      <c r="G279" s="49">
        <v>59</v>
      </c>
    </row>
    <row r="280" spans="2:7" x14ac:dyDescent="0.2">
      <c r="B280" s="16">
        <v>40080179</v>
      </c>
      <c r="C280" s="17" t="s">
        <v>77</v>
      </c>
      <c r="D280" s="70" t="s">
        <v>59</v>
      </c>
      <c r="E280" s="80">
        <v>48.3</v>
      </c>
      <c r="F280" s="50">
        <v>70</v>
      </c>
      <c r="G280" s="51">
        <v>66</v>
      </c>
    </row>
    <row r="281" spans="2:7" x14ac:dyDescent="0.2">
      <c r="B281" s="11">
        <v>40080174</v>
      </c>
      <c r="C281" s="12" t="s">
        <v>78</v>
      </c>
      <c r="D281" s="69" t="s">
        <v>59</v>
      </c>
      <c r="E281" s="79">
        <v>51.08</v>
      </c>
      <c r="F281" s="48">
        <v>75</v>
      </c>
      <c r="G281" s="49">
        <v>70</v>
      </c>
    </row>
    <row r="282" spans="2:7" x14ac:dyDescent="0.2">
      <c r="B282" s="16">
        <v>40080207</v>
      </c>
      <c r="C282" s="17" t="s">
        <v>79</v>
      </c>
      <c r="D282" s="70" t="s">
        <v>59</v>
      </c>
      <c r="E282" s="80">
        <v>57.5</v>
      </c>
      <c r="F282" s="50">
        <v>90</v>
      </c>
      <c r="G282" s="51">
        <v>86</v>
      </c>
    </row>
    <row r="283" spans="2:7" x14ac:dyDescent="0.2">
      <c r="B283" s="11">
        <v>40080197</v>
      </c>
      <c r="C283" s="12" t="s">
        <v>80</v>
      </c>
      <c r="D283" s="69" t="s">
        <v>59</v>
      </c>
      <c r="E283" s="79">
        <v>55.2</v>
      </c>
      <c r="F283" s="48">
        <v>80</v>
      </c>
      <c r="G283" s="49">
        <v>76</v>
      </c>
    </row>
    <row r="284" spans="2:7" ht="16.5" x14ac:dyDescent="0.25">
      <c r="B284"/>
      <c r="C284"/>
      <c r="D284" s="74"/>
      <c r="E284" s="58"/>
      <c r="F284" s="58"/>
      <c r="G284" s="58"/>
    </row>
    <row r="285" spans="2:7" x14ac:dyDescent="0.2">
      <c r="B285" s="21"/>
      <c r="C285" s="6" t="s">
        <v>174</v>
      </c>
      <c r="D285" s="71"/>
      <c r="E285" s="81"/>
      <c r="F285" s="52"/>
      <c r="G285" s="53"/>
    </row>
    <row r="286" spans="2:7" x14ac:dyDescent="0.2">
      <c r="B286" s="11">
        <v>40050159</v>
      </c>
      <c r="C286" s="12" t="s">
        <v>175</v>
      </c>
      <c r="D286" s="69" t="s">
        <v>59</v>
      </c>
      <c r="E286" s="79">
        <v>62.68</v>
      </c>
      <c r="F286" s="48">
        <v>86</v>
      </c>
      <c r="G286" s="49">
        <v>80</v>
      </c>
    </row>
    <row r="287" spans="2:7" x14ac:dyDescent="0.2">
      <c r="B287" s="16">
        <v>40050025</v>
      </c>
      <c r="C287" s="17" t="s">
        <v>176</v>
      </c>
      <c r="D287" s="70" t="s">
        <v>59</v>
      </c>
      <c r="E287" s="80">
        <v>61.24</v>
      </c>
      <c r="F287" s="50">
        <v>83</v>
      </c>
      <c r="G287" s="51">
        <v>79</v>
      </c>
    </row>
    <row r="288" spans="2:7" x14ac:dyDescent="0.2">
      <c r="B288" s="11">
        <v>40050299</v>
      </c>
      <c r="C288" s="12" t="s">
        <v>177</v>
      </c>
      <c r="D288" s="69" t="s">
        <v>59</v>
      </c>
      <c r="E288" s="79">
        <v>63.25</v>
      </c>
      <c r="F288" s="48">
        <v>86</v>
      </c>
      <c r="G288" s="49">
        <v>80</v>
      </c>
    </row>
    <row r="289" spans="2:7" x14ac:dyDescent="0.2">
      <c r="B289" s="16">
        <v>40050070</v>
      </c>
      <c r="C289" s="17" t="s">
        <v>178</v>
      </c>
      <c r="D289" s="70" t="s">
        <v>59</v>
      </c>
      <c r="E289" s="80">
        <v>75.33</v>
      </c>
      <c r="F289" s="50">
        <v>106</v>
      </c>
      <c r="G289" s="51">
        <v>98</v>
      </c>
    </row>
    <row r="290" spans="2:7" x14ac:dyDescent="0.2">
      <c r="B290" s="11">
        <v>40050118</v>
      </c>
      <c r="C290" s="12" t="s">
        <v>179</v>
      </c>
      <c r="D290" s="69" t="s">
        <v>59</v>
      </c>
      <c r="E290" s="79">
        <v>74.180000000000007</v>
      </c>
      <c r="F290" s="48">
        <v>101</v>
      </c>
      <c r="G290" s="49">
        <v>96</v>
      </c>
    </row>
    <row r="291" spans="2:7" x14ac:dyDescent="0.2">
      <c r="B291" s="16">
        <v>40050072</v>
      </c>
      <c r="C291" s="17" t="s">
        <v>180</v>
      </c>
      <c r="D291" s="70" t="s">
        <v>59</v>
      </c>
      <c r="E291" s="80">
        <v>82.8</v>
      </c>
      <c r="F291" s="50">
        <v>115</v>
      </c>
      <c r="G291" s="51">
        <v>110</v>
      </c>
    </row>
    <row r="292" spans="2:7" x14ac:dyDescent="0.2">
      <c r="B292" s="11">
        <v>40050119</v>
      </c>
      <c r="C292" s="12" t="s">
        <v>181</v>
      </c>
      <c r="D292" s="69" t="s">
        <v>59</v>
      </c>
      <c r="E292" s="79">
        <v>86.83</v>
      </c>
      <c r="F292" s="48">
        <v>126</v>
      </c>
      <c r="G292" s="49">
        <v>115</v>
      </c>
    </row>
    <row r="293" spans="2:7" x14ac:dyDescent="0.2">
      <c r="B293" s="16">
        <v>40050366</v>
      </c>
      <c r="C293" s="17" t="s">
        <v>182</v>
      </c>
      <c r="D293" s="70" t="s">
        <v>59</v>
      </c>
      <c r="E293" s="80">
        <v>82.8</v>
      </c>
      <c r="F293" s="50">
        <v>116</v>
      </c>
      <c r="G293" s="51">
        <v>110</v>
      </c>
    </row>
    <row r="294" spans="2:7" x14ac:dyDescent="0.2">
      <c r="B294" s="11">
        <v>40050143</v>
      </c>
      <c r="C294" s="12" t="s">
        <v>183</v>
      </c>
      <c r="D294" s="69" t="s">
        <v>59</v>
      </c>
      <c r="E294" s="79">
        <v>102.93</v>
      </c>
      <c r="F294" s="48">
        <v>152</v>
      </c>
      <c r="G294" s="49">
        <v>140</v>
      </c>
    </row>
    <row r="295" spans="2:7" x14ac:dyDescent="0.2">
      <c r="B295" s="21"/>
      <c r="C295" s="6" t="s">
        <v>184</v>
      </c>
      <c r="D295" s="71"/>
      <c r="E295" s="81"/>
      <c r="F295" s="52"/>
      <c r="G295" s="53"/>
    </row>
    <row r="296" spans="2:7" x14ac:dyDescent="0.2">
      <c r="B296" s="11">
        <v>40160030</v>
      </c>
      <c r="C296" s="12" t="s">
        <v>185</v>
      </c>
      <c r="D296" s="69" t="s">
        <v>335</v>
      </c>
      <c r="E296" s="79">
        <v>63.02</v>
      </c>
      <c r="F296" s="48">
        <v>90</v>
      </c>
      <c r="G296" s="49">
        <v>81</v>
      </c>
    </row>
    <row r="297" spans="2:7" x14ac:dyDescent="0.2">
      <c r="B297" s="16">
        <v>40160021</v>
      </c>
      <c r="C297" s="17" t="s">
        <v>186</v>
      </c>
      <c r="D297" s="70" t="s">
        <v>335</v>
      </c>
      <c r="E297" s="80">
        <v>63.56</v>
      </c>
      <c r="F297" s="50">
        <v>90</v>
      </c>
      <c r="G297" s="51">
        <v>81</v>
      </c>
    </row>
    <row r="298" spans="2:7" x14ac:dyDescent="0.2">
      <c r="B298" s="11">
        <v>40160031</v>
      </c>
      <c r="C298" s="12" t="s">
        <v>187</v>
      </c>
      <c r="D298" s="69" t="s">
        <v>335</v>
      </c>
      <c r="E298" s="79">
        <v>85.09</v>
      </c>
      <c r="F298" s="48">
        <v>120</v>
      </c>
      <c r="G298" s="49">
        <v>110</v>
      </c>
    </row>
    <row r="299" spans="2:7" x14ac:dyDescent="0.2">
      <c r="B299" s="16">
        <v>40160025</v>
      </c>
      <c r="C299" s="17" t="s">
        <v>188</v>
      </c>
      <c r="D299" s="70" t="s">
        <v>335</v>
      </c>
      <c r="E299" s="80">
        <v>85.1</v>
      </c>
      <c r="F299" s="50">
        <v>120</v>
      </c>
      <c r="G299" s="51">
        <v>110</v>
      </c>
    </row>
    <row r="300" spans="2:7" x14ac:dyDescent="0.2">
      <c r="B300" s="11">
        <v>40160023</v>
      </c>
      <c r="C300" s="12" t="s">
        <v>189</v>
      </c>
      <c r="D300" s="69" t="s">
        <v>335</v>
      </c>
      <c r="E300" s="79">
        <v>84.53</v>
      </c>
      <c r="F300" s="48">
        <v>120</v>
      </c>
      <c r="G300" s="49">
        <v>110</v>
      </c>
    </row>
    <row r="301" spans="2:7" x14ac:dyDescent="0.2">
      <c r="B301" s="16">
        <v>40160022</v>
      </c>
      <c r="C301" s="17" t="s">
        <v>190</v>
      </c>
      <c r="D301" s="70" t="s">
        <v>335</v>
      </c>
      <c r="E301" s="80">
        <v>103.5</v>
      </c>
      <c r="F301" s="50">
        <v>145</v>
      </c>
      <c r="G301" s="51">
        <v>132</v>
      </c>
    </row>
    <row r="302" spans="2:7" x14ac:dyDescent="0.2">
      <c r="B302" s="11">
        <v>40160024</v>
      </c>
      <c r="C302" s="12" t="s">
        <v>191</v>
      </c>
      <c r="D302" s="69" t="s">
        <v>335</v>
      </c>
      <c r="E302" s="79">
        <v>108.1</v>
      </c>
      <c r="F302" s="48">
        <v>152</v>
      </c>
      <c r="G302" s="49">
        <v>138</v>
      </c>
    </row>
    <row r="303" spans="2:7" ht="16.5" x14ac:dyDescent="0.25">
      <c r="B303"/>
      <c r="C303"/>
      <c r="D303" s="74"/>
      <c r="E303" s="58"/>
      <c r="F303" s="58"/>
      <c r="G303" s="58"/>
    </row>
    <row r="304" spans="2:7" x14ac:dyDescent="0.2">
      <c r="B304" s="21"/>
      <c r="C304" s="6" t="s">
        <v>428</v>
      </c>
      <c r="D304" s="71"/>
      <c r="E304" s="81"/>
      <c r="F304" s="52"/>
      <c r="G304" s="53"/>
    </row>
    <row r="305" spans="2:7" x14ac:dyDescent="0.2">
      <c r="B305" s="11" t="s">
        <v>432</v>
      </c>
      <c r="C305" s="12" t="s">
        <v>452</v>
      </c>
      <c r="D305" s="69" t="s">
        <v>24</v>
      </c>
      <c r="E305" s="79">
        <v>31.372</v>
      </c>
      <c r="F305" s="48">
        <v>47</v>
      </c>
      <c r="G305" s="49">
        <v>45</v>
      </c>
    </row>
    <row r="306" spans="2:7" x14ac:dyDescent="0.2">
      <c r="B306" s="16" t="s">
        <v>437</v>
      </c>
      <c r="C306" s="17" t="s">
        <v>457</v>
      </c>
      <c r="D306" s="70" t="s">
        <v>24</v>
      </c>
      <c r="E306" s="80">
        <v>38.156999999999996</v>
      </c>
      <c r="F306" s="50">
        <v>56</v>
      </c>
      <c r="G306" s="51">
        <v>53</v>
      </c>
    </row>
    <row r="307" spans="2:7" x14ac:dyDescent="0.2">
      <c r="B307" s="11" t="s">
        <v>438</v>
      </c>
      <c r="C307" s="12" t="s">
        <v>458</v>
      </c>
      <c r="D307" s="69" t="s">
        <v>24</v>
      </c>
      <c r="E307" s="79">
        <v>54.348999999999997</v>
      </c>
      <c r="F307" s="48">
        <v>77</v>
      </c>
      <c r="G307" s="49">
        <v>73</v>
      </c>
    </row>
    <row r="308" spans="2:7" x14ac:dyDescent="0.2">
      <c r="B308" s="16" t="s">
        <v>440</v>
      </c>
      <c r="C308" s="17" t="s">
        <v>429</v>
      </c>
      <c r="D308" s="70" t="s">
        <v>24</v>
      </c>
      <c r="E308" s="80">
        <v>30.451999999999998</v>
      </c>
      <c r="F308" s="50">
        <v>46</v>
      </c>
      <c r="G308" s="51">
        <v>43</v>
      </c>
    </row>
    <row r="309" spans="2:7" x14ac:dyDescent="0.2">
      <c r="B309" s="11" t="s">
        <v>443</v>
      </c>
      <c r="C309" s="12" t="s">
        <v>462</v>
      </c>
      <c r="D309" s="69" t="s">
        <v>24</v>
      </c>
      <c r="E309" s="79">
        <v>64.526499999999999</v>
      </c>
      <c r="F309" s="48">
        <v>90</v>
      </c>
      <c r="G309" s="49">
        <v>85</v>
      </c>
    </row>
    <row r="310" spans="2:7" x14ac:dyDescent="0.2">
      <c r="B310" s="16" t="s">
        <v>447</v>
      </c>
      <c r="C310" s="17" t="s">
        <v>466</v>
      </c>
      <c r="D310" s="70" t="s">
        <v>24</v>
      </c>
      <c r="E310" s="80">
        <v>44.642999999999994</v>
      </c>
      <c r="F310" s="50">
        <v>64</v>
      </c>
      <c r="G310" s="51">
        <v>61</v>
      </c>
    </row>
    <row r="311" spans="2:7" x14ac:dyDescent="0.2">
      <c r="B311" s="11" t="s">
        <v>448</v>
      </c>
      <c r="C311" s="12" t="s">
        <v>467</v>
      </c>
      <c r="D311" s="69" t="s">
        <v>24</v>
      </c>
      <c r="E311" s="79">
        <v>51.531500000000001</v>
      </c>
      <c r="F311" s="48">
        <v>73</v>
      </c>
      <c r="G311" s="49">
        <v>69</v>
      </c>
    </row>
    <row r="312" spans="2:7" x14ac:dyDescent="0.2">
      <c r="B312" s="21"/>
      <c r="C312" s="6" t="s">
        <v>475</v>
      </c>
      <c r="D312" s="71"/>
      <c r="E312" s="81"/>
      <c r="F312" s="52"/>
      <c r="G312" s="53"/>
    </row>
    <row r="313" spans="2:7" x14ac:dyDescent="0.2">
      <c r="B313" s="11" t="s">
        <v>433</v>
      </c>
      <c r="C313" s="12" t="s">
        <v>453</v>
      </c>
      <c r="D313" s="69" t="s">
        <v>24</v>
      </c>
      <c r="E313" s="79">
        <v>47.529499999999992</v>
      </c>
      <c r="F313" s="48">
        <v>68</v>
      </c>
      <c r="G313" s="49">
        <v>64</v>
      </c>
    </row>
    <row r="314" spans="2:7" x14ac:dyDescent="0.2">
      <c r="B314" s="16" t="s">
        <v>441</v>
      </c>
      <c r="C314" s="17" t="s">
        <v>460</v>
      </c>
      <c r="D314" s="70" t="s">
        <v>24</v>
      </c>
      <c r="E314" s="80">
        <v>66.895499999999998</v>
      </c>
      <c r="F314" s="50">
        <v>93</v>
      </c>
      <c r="G314" s="51">
        <v>88</v>
      </c>
    </row>
    <row r="315" spans="2:7" x14ac:dyDescent="0.2">
      <c r="B315" s="11" t="s">
        <v>445</v>
      </c>
      <c r="C315" s="12" t="s">
        <v>464</v>
      </c>
      <c r="D315" s="69" t="s">
        <v>24</v>
      </c>
      <c r="E315" s="79">
        <v>60.144999999999989</v>
      </c>
      <c r="F315" s="48">
        <v>85</v>
      </c>
      <c r="G315" s="49">
        <v>80</v>
      </c>
    </row>
    <row r="316" spans="2:7" x14ac:dyDescent="0.2">
      <c r="B316" s="21"/>
      <c r="C316" s="6" t="s">
        <v>474</v>
      </c>
      <c r="D316" s="71"/>
      <c r="E316" s="81"/>
      <c r="F316" s="52"/>
      <c r="G316" s="53"/>
    </row>
    <row r="317" spans="2:7" x14ac:dyDescent="0.2">
      <c r="B317" s="11" t="s">
        <v>449</v>
      </c>
      <c r="C317" s="12" t="s">
        <v>468</v>
      </c>
      <c r="D317" s="69" t="s">
        <v>24</v>
      </c>
      <c r="E317" s="79">
        <v>56.487999999999992</v>
      </c>
      <c r="F317" s="48">
        <v>80</v>
      </c>
      <c r="G317" s="49">
        <v>75</v>
      </c>
    </row>
    <row r="318" spans="2:7" x14ac:dyDescent="0.2">
      <c r="B318" s="16" t="s">
        <v>451</v>
      </c>
      <c r="C318" s="17" t="s">
        <v>470</v>
      </c>
      <c r="D318" s="70" t="s">
        <v>24</v>
      </c>
      <c r="E318" s="80">
        <v>76.49799999999999</v>
      </c>
      <c r="F318" s="50">
        <v>106</v>
      </c>
      <c r="G318" s="51">
        <v>100</v>
      </c>
    </row>
    <row r="319" spans="2:7" x14ac:dyDescent="0.2">
      <c r="B319" s="11" t="s">
        <v>435</v>
      </c>
      <c r="C319" s="12" t="s">
        <v>455</v>
      </c>
      <c r="D319" s="69" t="s">
        <v>24</v>
      </c>
      <c r="E319" s="79">
        <v>29.313499999999998</v>
      </c>
      <c r="F319" s="48">
        <v>45</v>
      </c>
      <c r="G319" s="49">
        <v>42</v>
      </c>
    </row>
    <row r="320" spans="2:7" x14ac:dyDescent="0.2">
      <c r="B320" s="16" t="s">
        <v>436</v>
      </c>
      <c r="C320" s="17" t="s">
        <v>456</v>
      </c>
      <c r="D320" s="70" t="s">
        <v>24</v>
      </c>
      <c r="E320" s="80">
        <v>37.041499999999999</v>
      </c>
      <c r="F320" s="50">
        <v>55</v>
      </c>
      <c r="G320" s="51">
        <v>52</v>
      </c>
    </row>
    <row r="321" spans="2:7" x14ac:dyDescent="0.2">
      <c r="B321" s="21"/>
      <c r="C321" s="6" t="s">
        <v>473</v>
      </c>
      <c r="D321" s="71"/>
      <c r="E321" s="81"/>
      <c r="F321" s="52"/>
      <c r="G321" s="53"/>
    </row>
    <row r="322" spans="2:7" x14ac:dyDescent="0.2">
      <c r="B322" s="16" t="s">
        <v>439</v>
      </c>
      <c r="C322" s="17" t="s">
        <v>459</v>
      </c>
      <c r="D322" s="70" t="s">
        <v>24</v>
      </c>
      <c r="E322" s="80">
        <v>46.747499999999995</v>
      </c>
      <c r="F322" s="50">
        <v>67</v>
      </c>
      <c r="G322" s="51">
        <v>63</v>
      </c>
    </row>
    <row r="323" spans="2:7" x14ac:dyDescent="0.2">
      <c r="B323" s="21"/>
      <c r="C323" s="6" t="s">
        <v>472</v>
      </c>
      <c r="D323" s="71"/>
      <c r="E323" s="81"/>
      <c r="F323" s="52"/>
      <c r="G323" s="53"/>
    </row>
    <row r="324" spans="2:7" x14ac:dyDescent="0.2">
      <c r="B324" s="16" t="s">
        <v>442</v>
      </c>
      <c r="C324" s="17" t="s">
        <v>461</v>
      </c>
      <c r="D324" s="70" t="s">
        <v>24</v>
      </c>
      <c r="E324" s="80">
        <v>36.592999999999996</v>
      </c>
      <c r="F324" s="50">
        <v>54</v>
      </c>
      <c r="G324" s="51">
        <v>51</v>
      </c>
    </row>
    <row r="325" spans="2:7" x14ac:dyDescent="0.2">
      <c r="B325" s="11" t="s">
        <v>446</v>
      </c>
      <c r="C325" s="12" t="s">
        <v>465</v>
      </c>
      <c r="D325" s="69" t="s">
        <v>24</v>
      </c>
      <c r="E325" s="79">
        <v>81.626999999999995</v>
      </c>
      <c r="F325" s="48">
        <v>112</v>
      </c>
      <c r="G325" s="49">
        <v>106</v>
      </c>
    </row>
    <row r="326" spans="2:7" x14ac:dyDescent="0.2">
      <c r="B326" s="16"/>
      <c r="C326" s="17"/>
      <c r="D326" s="70"/>
      <c r="E326" s="80"/>
      <c r="F326" s="50"/>
      <c r="G326" s="51"/>
    </row>
    <row r="327" spans="2:7" x14ac:dyDescent="0.2">
      <c r="B327" s="21"/>
      <c r="C327" s="6" t="s">
        <v>471</v>
      </c>
      <c r="D327" s="71"/>
      <c r="E327" s="81"/>
      <c r="F327" s="52"/>
      <c r="G327" s="53"/>
    </row>
    <row r="328" spans="2:7" x14ac:dyDescent="0.2">
      <c r="B328" s="16" t="s">
        <v>444</v>
      </c>
      <c r="C328" s="17" t="s">
        <v>463</v>
      </c>
      <c r="D328" s="70" t="s">
        <v>24</v>
      </c>
      <c r="E328" s="80">
        <v>45.183499999999995</v>
      </c>
      <c r="F328" s="50">
        <v>65</v>
      </c>
      <c r="G328" s="51">
        <v>61</v>
      </c>
    </row>
    <row r="329" spans="2:7" x14ac:dyDescent="0.2">
      <c r="B329" s="11" t="s">
        <v>434</v>
      </c>
      <c r="C329" s="12" t="s">
        <v>454</v>
      </c>
      <c r="D329" s="69" t="s">
        <v>24</v>
      </c>
      <c r="E329" s="79">
        <v>42.4925</v>
      </c>
      <c r="F329" s="48">
        <v>62</v>
      </c>
      <c r="G329" s="49">
        <v>58</v>
      </c>
    </row>
    <row r="330" spans="2:7" x14ac:dyDescent="0.2">
      <c r="B330" s="16" t="s">
        <v>450</v>
      </c>
      <c r="C330" s="17" t="s">
        <v>469</v>
      </c>
      <c r="D330" s="70" t="s">
        <v>24</v>
      </c>
      <c r="E330" s="80">
        <v>84.513499999999993</v>
      </c>
      <c r="F330" s="50">
        <v>116</v>
      </c>
      <c r="G330" s="51">
        <v>110</v>
      </c>
    </row>
    <row r="331" spans="2:7" ht="16.5" x14ac:dyDescent="0.25">
      <c r="B331"/>
      <c r="C331"/>
      <c r="D331" s="74"/>
      <c r="E331" s="58"/>
      <c r="F331" s="58"/>
      <c r="G331" s="58"/>
    </row>
    <row r="332" spans="2:7" x14ac:dyDescent="0.2">
      <c r="B332" s="21"/>
      <c r="C332" s="6" t="s">
        <v>192</v>
      </c>
      <c r="D332" s="71"/>
      <c r="E332" s="81"/>
      <c r="F332" s="52"/>
      <c r="G332" s="53"/>
    </row>
    <row r="333" spans="2:7" x14ac:dyDescent="0.2">
      <c r="B333" s="16">
        <v>100338</v>
      </c>
      <c r="C333" s="17" t="s">
        <v>193</v>
      </c>
      <c r="D333" s="70" t="s">
        <v>59</v>
      </c>
      <c r="E333" s="80">
        <v>42.75</v>
      </c>
      <c r="F333" s="50">
        <v>60</v>
      </c>
      <c r="G333" s="51">
        <v>56</v>
      </c>
    </row>
    <row r="334" spans="2:7" x14ac:dyDescent="0.2">
      <c r="B334" s="11">
        <v>100534</v>
      </c>
      <c r="C334" s="12" t="s">
        <v>194</v>
      </c>
      <c r="D334" s="69" t="s">
        <v>59</v>
      </c>
      <c r="E334" s="79">
        <v>48.000999999999998</v>
      </c>
      <c r="F334" s="48">
        <v>70</v>
      </c>
      <c r="G334" s="49">
        <v>65</v>
      </c>
    </row>
    <row r="335" spans="2:7" x14ac:dyDescent="0.2">
      <c r="B335" s="16">
        <v>100339</v>
      </c>
      <c r="C335" s="17" t="s">
        <v>195</v>
      </c>
      <c r="D335" s="70" t="s">
        <v>59</v>
      </c>
      <c r="E335" s="80">
        <v>52.9</v>
      </c>
      <c r="F335" s="50">
        <v>75</v>
      </c>
      <c r="G335" s="51">
        <v>70</v>
      </c>
    </row>
    <row r="336" spans="2:7" x14ac:dyDescent="0.2">
      <c r="B336" s="11"/>
      <c r="C336" s="12" t="s">
        <v>197</v>
      </c>
      <c r="D336" s="69" t="s">
        <v>59</v>
      </c>
      <c r="E336" s="79">
        <v>55.97</v>
      </c>
      <c r="F336" s="48">
        <v>80</v>
      </c>
      <c r="G336" s="49">
        <v>75</v>
      </c>
    </row>
    <row r="337" spans="2:7" x14ac:dyDescent="0.2">
      <c r="B337" s="16">
        <v>100313</v>
      </c>
      <c r="C337" s="17" t="s">
        <v>196</v>
      </c>
      <c r="D337" s="70" t="s">
        <v>59</v>
      </c>
      <c r="E337" s="80">
        <v>57.994</v>
      </c>
      <c r="F337" s="50">
        <v>82</v>
      </c>
      <c r="G337" s="51">
        <v>76</v>
      </c>
    </row>
    <row r="338" spans="2:7" x14ac:dyDescent="0.2">
      <c r="B338" s="11"/>
      <c r="C338" s="12"/>
      <c r="D338" s="69"/>
      <c r="E338" s="79"/>
      <c r="F338" s="48"/>
      <c r="G338" s="49"/>
    </row>
    <row r="339" spans="2:7" x14ac:dyDescent="0.2">
      <c r="B339" s="21"/>
      <c r="C339" s="6" t="s">
        <v>121</v>
      </c>
      <c r="D339" s="71"/>
      <c r="E339" s="81"/>
      <c r="F339" s="52"/>
      <c r="G339" s="53"/>
    </row>
    <row r="340" spans="2:7" x14ac:dyDescent="0.2">
      <c r="B340" s="11">
        <v>331430</v>
      </c>
      <c r="C340" s="12" t="s">
        <v>310</v>
      </c>
      <c r="D340" s="69" t="s">
        <v>59</v>
      </c>
      <c r="E340" s="79">
        <v>59.898715763655687</v>
      </c>
      <c r="F340" s="48">
        <v>79.740165360366646</v>
      </c>
      <c r="G340" s="49">
        <v>74.87339470456962</v>
      </c>
    </row>
    <row r="341" spans="2:7" x14ac:dyDescent="0.2">
      <c r="B341" s="16">
        <v>331427</v>
      </c>
      <c r="C341" s="17" t="s">
        <v>119</v>
      </c>
      <c r="D341" s="70" t="s">
        <v>59</v>
      </c>
      <c r="E341" s="80">
        <v>71.85199999999999</v>
      </c>
      <c r="F341" s="50">
        <v>95.652974999999984</v>
      </c>
      <c r="G341" s="51">
        <v>89.814999999999984</v>
      </c>
    </row>
    <row r="342" spans="2:7" x14ac:dyDescent="0.2">
      <c r="B342" s="11">
        <v>331434</v>
      </c>
      <c r="C342" s="12" t="s">
        <v>120</v>
      </c>
      <c r="D342" s="69" t="s">
        <v>59</v>
      </c>
      <c r="E342" s="79">
        <v>67.930499999999995</v>
      </c>
      <c r="F342" s="48">
        <v>90.432478124999989</v>
      </c>
      <c r="G342" s="49">
        <v>84.913124999999994</v>
      </c>
    </row>
    <row r="343" spans="2:7" x14ac:dyDescent="0.2">
      <c r="B343" s="16">
        <v>331426</v>
      </c>
      <c r="C343" s="17" t="s">
        <v>311</v>
      </c>
      <c r="D343" s="70" t="s">
        <v>59</v>
      </c>
      <c r="E343" s="80">
        <v>68.910454294905691</v>
      </c>
      <c r="F343" s="50">
        <v>92.133150000000001</v>
      </c>
      <c r="G343" s="51">
        <v>86.51</v>
      </c>
    </row>
    <row r="344" spans="2:7" x14ac:dyDescent="0.2">
      <c r="B344" s="11">
        <v>331429</v>
      </c>
      <c r="C344" s="12" t="s">
        <v>312</v>
      </c>
      <c r="D344" s="69" t="s">
        <v>59</v>
      </c>
      <c r="E344" s="79">
        <v>75.497500000000002</v>
      </c>
      <c r="F344" s="48">
        <v>100.65315</v>
      </c>
      <c r="G344" s="49">
        <v>94.51</v>
      </c>
    </row>
    <row r="345" spans="2:7" x14ac:dyDescent="0.2">
      <c r="B345" s="16">
        <v>331428</v>
      </c>
      <c r="C345" s="17" t="s">
        <v>122</v>
      </c>
      <c r="D345" s="70" t="s">
        <v>59</v>
      </c>
      <c r="E345" s="80">
        <v>81.810999999999993</v>
      </c>
      <c r="F345" s="50">
        <v>109.17315000000001</v>
      </c>
      <c r="G345" s="51">
        <v>102.51</v>
      </c>
    </row>
    <row r="346" spans="2:7" x14ac:dyDescent="0.2">
      <c r="B346" s="11">
        <v>331436</v>
      </c>
      <c r="C346" s="12" t="s">
        <v>123</v>
      </c>
      <c r="D346" s="69" t="s">
        <v>59</v>
      </c>
      <c r="E346" s="79">
        <v>84.961999999999989</v>
      </c>
      <c r="F346" s="48">
        <v>113.43315</v>
      </c>
      <c r="G346" s="49">
        <v>106.51</v>
      </c>
    </row>
    <row r="347" spans="2:7" x14ac:dyDescent="0.2">
      <c r="B347" s="16">
        <v>331435</v>
      </c>
      <c r="C347" s="17" t="s">
        <v>313</v>
      </c>
      <c r="D347" s="70" t="s">
        <v>59</v>
      </c>
      <c r="E347" s="80">
        <v>40.824999999999996</v>
      </c>
      <c r="F347" s="50">
        <v>54.858149999999995</v>
      </c>
      <c r="G347" s="51">
        <v>51.51</v>
      </c>
    </row>
    <row r="348" spans="2:7" x14ac:dyDescent="0.2">
      <c r="B348" s="11">
        <v>331424</v>
      </c>
      <c r="C348" s="12" t="s">
        <v>314</v>
      </c>
      <c r="D348" s="69" t="s">
        <v>59</v>
      </c>
      <c r="E348" s="79">
        <v>54.268499999999996</v>
      </c>
      <c r="F348" s="48">
        <v>72.244940624999984</v>
      </c>
      <c r="G348" s="49">
        <v>67.835624999999993</v>
      </c>
    </row>
    <row r="349" spans="2:7" x14ac:dyDescent="0.2">
      <c r="B349" s="16">
        <v>331425</v>
      </c>
      <c r="C349" s="17" t="s">
        <v>315</v>
      </c>
      <c r="D349" s="70" t="s">
        <v>59</v>
      </c>
      <c r="E349" s="80">
        <v>47.724999999999994</v>
      </c>
      <c r="F349" s="50">
        <v>63.533906249999987</v>
      </c>
      <c r="G349" s="51">
        <v>59.656249999999993</v>
      </c>
    </row>
    <row r="350" spans="2:7" x14ac:dyDescent="0.2">
      <c r="B350" s="11">
        <v>331431</v>
      </c>
      <c r="C350" s="12" t="s">
        <v>316</v>
      </c>
      <c r="D350" s="69" t="s">
        <v>59</v>
      </c>
      <c r="E350" s="79">
        <v>61.248999999999995</v>
      </c>
      <c r="F350" s="48">
        <v>81.537731249999993</v>
      </c>
      <c r="G350" s="49">
        <v>76.561250000000001</v>
      </c>
    </row>
    <row r="351" spans="2:7" x14ac:dyDescent="0.2">
      <c r="B351" s="16">
        <v>331432</v>
      </c>
      <c r="C351" s="17" t="s">
        <v>317</v>
      </c>
      <c r="D351" s="70" t="s">
        <v>59</v>
      </c>
      <c r="E351" s="80">
        <v>64.802499999999995</v>
      </c>
      <c r="F351" s="50">
        <v>86.268328124999996</v>
      </c>
      <c r="G351" s="51">
        <v>81.003124999999997</v>
      </c>
    </row>
    <row r="352" spans="2:7" x14ac:dyDescent="0.2">
      <c r="B352" s="11">
        <v>236651</v>
      </c>
      <c r="C352" s="12" t="s">
        <v>318</v>
      </c>
      <c r="D352" s="69" t="s">
        <v>59</v>
      </c>
      <c r="E352" s="79">
        <v>70.103999999999999</v>
      </c>
      <c r="F352" s="48">
        <v>93.325949999999992</v>
      </c>
      <c r="G352" s="49">
        <v>87.63</v>
      </c>
    </row>
    <row r="353" spans="2:7" x14ac:dyDescent="0.2">
      <c r="B353" s="16">
        <v>331433</v>
      </c>
      <c r="C353" s="17" t="s">
        <v>319</v>
      </c>
      <c r="D353" s="70" t="s">
        <v>59</v>
      </c>
      <c r="E353" s="80">
        <v>68.137499999999989</v>
      </c>
      <c r="F353" s="50">
        <v>91.068150000000003</v>
      </c>
      <c r="G353" s="51">
        <v>85.51</v>
      </c>
    </row>
    <row r="354" spans="2:7" x14ac:dyDescent="0.2">
      <c r="B354" s="11">
        <v>292261</v>
      </c>
      <c r="C354" s="12" t="s">
        <v>320</v>
      </c>
      <c r="D354" s="69" t="s">
        <v>59</v>
      </c>
      <c r="E354" s="79">
        <v>70.149999999999991</v>
      </c>
      <c r="F354" s="48">
        <v>93.387187499999996</v>
      </c>
      <c r="G354" s="49">
        <v>87.6875</v>
      </c>
    </row>
    <row r="355" spans="2:7" x14ac:dyDescent="0.2">
      <c r="B355" s="16"/>
      <c r="C355" s="17"/>
      <c r="D355" s="70"/>
      <c r="E355" s="80"/>
      <c r="F355" s="50"/>
      <c r="G355" s="51"/>
    </row>
    <row r="356" spans="2:7" x14ac:dyDescent="0.2">
      <c r="B356" s="21"/>
      <c r="C356" s="6" t="s">
        <v>325</v>
      </c>
      <c r="D356" s="71"/>
      <c r="E356" s="81"/>
      <c r="F356" s="52"/>
      <c r="G356" s="53"/>
    </row>
    <row r="357" spans="2:7" x14ac:dyDescent="0.2">
      <c r="B357" s="16">
        <v>290453</v>
      </c>
      <c r="C357" s="17" t="s">
        <v>321</v>
      </c>
      <c r="D357" s="70" t="s">
        <v>343</v>
      </c>
      <c r="E357" s="80">
        <v>93.563999999999993</v>
      </c>
      <c r="F357" s="50">
        <f>Tabla1[[#This Row],[EFECTIVO]]*1.065</f>
        <v>124.557075</v>
      </c>
      <c r="G357" s="51">
        <v>116.955</v>
      </c>
    </row>
    <row r="358" spans="2:7" x14ac:dyDescent="0.2">
      <c r="B358" s="11">
        <v>356966</v>
      </c>
      <c r="C358" s="12" t="s">
        <v>321</v>
      </c>
      <c r="D358" s="69" t="s">
        <v>343</v>
      </c>
      <c r="E358" s="79">
        <v>93.563999999999993</v>
      </c>
      <c r="F358" s="48">
        <f>Tabla1[[#This Row],[EFECTIVO]]*1.065</f>
        <v>124.557075</v>
      </c>
      <c r="G358" s="49">
        <v>116.955</v>
      </c>
    </row>
    <row r="359" spans="2:7" x14ac:dyDescent="0.2">
      <c r="B359" s="16">
        <v>231135</v>
      </c>
      <c r="C359" s="17" t="s">
        <v>322</v>
      </c>
      <c r="D359" s="70" t="s">
        <v>343</v>
      </c>
      <c r="E359" s="80">
        <v>68.745741325000012</v>
      </c>
      <c r="F359" s="50">
        <f>Tabla1[[#This Row],[EFECTIVO]]*1.065</f>
        <v>91.517768138906263</v>
      </c>
      <c r="G359" s="51">
        <v>85.932176656250022</v>
      </c>
    </row>
    <row r="360" spans="2:7" x14ac:dyDescent="0.2">
      <c r="B360" s="11">
        <v>292245</v>
      </c>
      <c r="C360" s="12" t="s">
        <v>323</v>
      </c>
      <c r="D360" s="69" t="s">
        <v>343</v>
      </c>
      <c r="E360" s="79">
        <v>71.85199999999999</v>
      </c>
      <c r="F360" s="48">
        <f>Tabla1[[#This Row],[EFECTIVO]]*1.065</f>
        <v>95.640727499999997</v>
      </c>
      <c r="G360" s="49">
        <v>89.8035</v>
      </c>
    </row>
    <row r="361" spans="2:7" x14ac:dyDescent="0.2">
      <c r="B361" s="16"/>
      <c r="C361" s="17"/>
      <c r="D361" s="70"/>
      <c r="E361" s="80"/>
      <c r="F361" s="50"/>
      <c r="G361" s="51"/>
    </row>
    <row r="362" spans="2:7" x14ac:dyDescent="0.2">
      <c r="B362" s="21"/>
      <c r="C362" s="6" t="s">
        <v>324</v>
      </c>
      <c r="D362" s="71"/>
      <c r="E362" s="81"/>
      <c r="F362" s="52"/>
      <c r="G362" s="53"/>
    </row>
    <row r="363" spans="2:7" x14ac:dyDescent="0.2">
      <c r="B363" s="16">
        <v>289677</v>
      </c>
      <c r="C363" s="17" t="s">
        <v>326</v>
      </c>
      <c r="D363" s="70" t="s">
        <v>345</v>
      </c>
      <c r="E363" s="80">
        <v>94.429374999999993</v>
      </c>
      <c r="F363" s="50">
        <v>126.29928906249999</v>
      </c>
      <c r="G363" s="51">
        <v>118.03671874999999</v>
      </c>
    </row>
    <row r="364" spans="2:7" x14ac:dyDescent="0.2">
      <c r="B364" s="11">
        <v>289679</v>
      </c>
      <c r="C364" s="12" t="s">
        <v>327</v>
      </c>
      <c r="D364" s="69" t="s">
        <v>345</v>
      </c>
      <c r="E364" s="79">
        <v>110.39999999999999</v>
      </c>
      <c r="F364" s="48">
        <v>147.66</v>
      </c>
      <c r="G364" s="49">
        <v>138</v>
      </c>
    </row>
    <row r="365" spans="2:7" x14ac:dyDescent="0.2">
      <c r="B365" s="16">
        <v>289673</v>
      </c>
      <c r="C365" s="17" t="s">
        <v>328</v>
      </c>
      <c r="D365" s="70" t="s">
        <v>345</v>
      </c>
      <c r="E365" s="80">
        <v>116.14999999999999</v>
      </c>
      <c r="F365" s="50">
        <v>155.35062500000001</v>
      </c>
      <c r="G365" s="51">
        <v>145.1875</v>
      </c>
    </row>
    <row r="366" spans="2:7" x14ac:dyDescent="0.2">
      <c r="B366" s="11">
        <v>289675</v>
      </c>
      <c r="C366" s="12" t="s">
        <v>329</v>
      </c>
      <c r="D366" s="69" t="s">
        <v>345</v>
      </c>
      <c r="E366" s="79">
        <v>83.949999999999989</v>
      </c>
      <c r="F366" s="48">
        <v>112.283125</v>
      </c>
      <c r="G366" s="49">
        <v>104.93749999999999</v>
      </c>
    </row>
    <row r="367" spans="2:7" x14ac:dyDescent="0.2">
      <c r="B367" s="16"/>
      <c r="C367" s="17"/>
      <c r="D367" s="70"/>
      <c r="E367" s="80"/>
      <c r="F367" s="50"/>
      <c r="G367" s="51"/>
    </row>
    <row r="368" spans="2:7" x14ac:dyDescent="0.2">
      <c r="B368" s="21"/>
      <c r="C368" s="6" t="s">
        <v>60</v>
      </c>
      <c r="D368" s="71"/>
      <c r="E368" s="81"/>
      <c r="F368" s="52"/>
      <c r="G368" s="53"/>
    </row>
    <row r="369" spans="2:7" x14ac:dyDescent="0.2">
      <c r="B369" s="16" t="s">
        <v>541</v>
      </c>
      <c r="C369" s="17" t="s">
        <v>61</v>
      </c>
      <c r="D369" s="70" t="s">
        <v>59</v>
      </c>
      <c r="E369" s="80">
        <v>61.660124999999987</v>
      </c>
      <c r="F369" s="50">
        <v>88</v>
      </c>
      <c r="G369" s="51">
        <v>83</v>
      </c>
    </row>
    <row r="370" spans="2:7" x14ac:dyDescent="0.2">
      <c r="B370" s="11" t="s">
        <v>545</v>
      </c>
      <c r="C370" s="12" t="s">
        <v>62</v>
      </c>
      <c r="D370" s="69" t="s">
        <v>59</v>
      </c>
      <c r="E370" s="79">
        <v>57.62362499999999</v>
      </c>
      <c r="F370" s="48"/>
      <c r="G370" s="49"/>
    </row>
    <row r="371" spans="2:7" x14ac:dyDescent="0.2">
      <c r="B371" s="16"/>
      <c r="C371" s="17" t="s">
        <v>169</v>
      </c>
      <c r="D371" s="70" t="s">
        <v>59</v>
      </c>
      <c r="E371" s="80"/>
      <c r="F371" s="50"/>
      <c r="G371" s="51"/>
    </row>
    <row r="372" spans="2:7" x14ac:dyDescent="0.2">
      <c r="B372" s="11" t="s">
        <v>540</v>
      </c>
      <c r="C372" s="12" t="s">
        <v>63</v>
      </c>
      <c r="D372" s="69" t="s">
        <v>59</v>
      </c>
      <c r="E372" s="79">
        <v>79.617374999999996</v>
      </c>
      <c r="F372" s="48">
        <v>115</v>
      </c>
      <c r="G372" s="49">
        <v>107</v>
      </c>
    </row>
    <row r="373" spans="2:7" x14ac:dyDescent="0.2">
      <c r="B373" s="16" t="s">
        <v>542</v>
      </c>
      <c r="C373" s="17" t="s">
        <v>544</v>
      </c>
      <c r="D373" s="70" t="s">
        <v>59</v>
      </c>
      <c r="E373" s="80">
        <v>86.189625000000007</v>
      </c>
      <c r="F373" s="50">
        <v>122</v>
      </c>
      <c r="G373" s="51">
        <v>115</v>
      </c>
    </row>
    <row r="374" spans="2:7" x14ac:dyDescent="0.2">
      <c r="B374" s="11" t="s">
        <v>543</v>
      </c>
      <c r="C374" s="12" t="s">
        <v>64</v>
      </c>
      <c r="D374" s="69" t="s">
        <v>59</v>
      </c>
      <c r="E374" s="79">
        <v>78.961874999999992</v>
      </c>
      <c r="F374" s="48">
        <v>112</v>
      </c>
      <c r="G374" s="49">
        <v>106</v>
      </c>
    </row>
    <row r="375" spans="2:7" x14ac:dyDescent="0.2">
      <c r="B375" s="16" t="s">
        <v>539</v>
      </c>
      <c r="C375" s="17" t="s">
        <v>538</v>
      </c>
      <c r="D375" s="70" t="s">
        <v>59</v>
      </c>
      <c r="E375" s="80">
        <v>83.558999999999997</v>
      </c>
      <c r="F375" s="50">
        <v>120</v>
      </c>
      <c r="G375" s="51">
        <v>112</v>
      </c>
    </row>
    <row r="376" spans="2:7" ht="16.5" x14ac:dyDescent="0.25">
      <c r="B376" s="39"/>
      <c r="C376" s="39"/>
      <c r="D376" s="76"/>
      <c r="E376" s="61"/>
      <c r="F376" s="61"/>
      <c r="G376" s="61"/>
    </row>
    <row r="377" spans="2:7" ht="16.5" x14ac:dyDescent="0.25">
      <c r="B377" s="39"/>
      <c r="C377" s="39"/>
      <c r="D377" s="76"/>
      <c r="E377" s="61"/>
      <c r="F377" s="61"/>
      <c r="G377" s="61"/>
    </row>
    <row r="378" spans="2:7" x14ac:dyDescent="0.2">
      <c r="B378" s="21"/>
      <c r="C378" s="6" t="s">
        <v>206</v>
      </c>
      <c r="D378" s="71"/>
      <c r="E378" s="81"/>
      <c r="F378" s="52"/>
      <c r="G378" s="53"/>
    </row>
    <row r="379" spans="2:7" x14ac:dyDescent="0.2">
      <c r="B379" s="16">
        <v>40050283</v>
      </c>
      <c r="C379" s="17" t="s">
        <v>207</v>
      </c>
      <c r="D379" s="70" t="s">
        <v>59</v>
      </c>
      <c r="E379" s="80">
        <v>178.25</v>
      </c>
      <c r="F379" s="50">
        <v>250</v>
      </c>
      <c r="G379" s="51">
        <v>230</v>
      </c>
    </row>
    <row r="380" spans="2:7" x14ac:dyDescent="0.2">
      <c r="B380" s="11">
        <v>40050295</v>
      </c>
      <c r="C380" s="12" t="s">
        <v>208</v>
      </c>
      <c r="D380" s="69" t="s">
        <v>59</v>
      </c>
      <c r="E380" s="79">
        <v>196.65</v>
      </c>
      <c r="F380" s="48">
        <v>276</v>
      </c>
      <c r="G380" s="49">
        <v>250</v>
      </c>
    </row>
    <row r="381" spans="2:7" x14ac:dyDescent="0.2">
      <c r="B381" s="16">
        <v>40050296</v>
      </c>
      <c r="C381" s="17" t="s">
        <v>209</v>
      </c>
      <c r="D381" s="70" t="s">
        <v>59</v>
      </c>
      <c r="E381" s="80">
        <v>230</v>
      </c>
      <c r="F381" s="50">
        <v>330</v>
      </c>
      <c r="G381" s="51">
        <v>290</v>
      </c>
    </row>
    <row r="382" spans="2:7" x14ac:dyDescent="0.2">
      <c r="B382" s="11">
        <v>40050284</v>
      </c>
      <c r="C382" s="12" t="s">
        <v>210</v>
      </c>
      <c r="D382" s="69" t="s">
        <v>59</v>
      </c>
      <c r="E382" s="79">
        <v>239.15</v>
      </c>
      <c r="F382" s="48">
        <v>345</v>
      </c>
      <c r="G382" s="49">
        <v>299</v>
      </c>
    </row>
    <row r="383" spans="2:7" x14ac:dyDescent="0.2">
      <c r="B383" s="16"/>
      <c r="C383" s="17"/>
      <c r="D383" s="70"/>
      <c r="E383" s="80"/>
      <c r="F383" s="50"/>
      <c r="G383" s="51"/>
    </row>
    <row r="384" spans="2:7" x14ac:dyDescent="0.2">
      <c r="B384" s="21"/>
      <c r="C384" s="6" t="s">
        <v>239</v>
      </c>
      <c r="D384" s="71"/>
      <c r="E384" s="81"/>
      <c r="F384" s="52"/>
      <c r="G384" s="53"/>
    </row>
    <row r="385" spans="2:7" x14ac:dyDescent="0.2">
      <c r="B385" s="16"/>
      <c r="C385" s="17" t="s">
        <v>240</v>
      </c>
      <c r="D385" s="70" t="s">
        <v>59</v>
      </c>
      <c r="E385" s="80">
        <v>46</v>
      </c>
      <c r="F385" s="50">
        <v>90</v>
      </c>
      <c r="G385" s="51">
        <v>75</v>
      </c>
    </row>
    <row r="386" spans="2:7" x14ac:dyDescent="0.2">
      <c r="B386" s="11" t="s">
        <v>408</v>
      </c>
      <c r="C386" s="12" t="s">
        <v>409</v>
      </c>
      <c r="D386" s="69"/>
      <c r="E386" s="79"/>
      <c r="F386" s="48"/>
      <c r="G386" s="49"/>
    </row>
    <row r="387" spans="2:7" x14ac:dyDescent="0.2">
      <c r="B387" s="16">
        <v>40160001</v>
      </c>
      <c r="C387" s="17" t="s">
        <v>241</v>
      </c>
      <c r="D387" s="70" t="s">
        <v>59</v>
      </c>
      <c r="E387" s="80">
        <v>166.75</v>
      </c>
      <c r="F387" s="50">
        <v>234</v>
      </c>
      <c r="G387" s="51">
        <v>210</v>
      </c>
    </row>
    <row r="388" spans="2:7" x14ac:dyDescent="0.2">
      <c r="B388" s="11">
        <v>40160007</v>
      </c>
      <c r="C388" s="12" t="s">
        <v>242</v>
      </c>
      <c r="D388" s="69" t="s">
        <v>59</v>
      </c>
      <c r="E388" s="79">
        <v>184</v>
      </c>
      <c r="F388" s="48">
        <v>255</v>
      </c>
      <c r="G388" s="49">
        <v>230</v>
      </c>
    </row>
    <row r="389" spans="2:7" x14ac:dyDescent="0.2">
      <c r="B389" s="16"/>
      <c r="C389" s="17"/>
      <c r="D389" s="70"/>
      <c r="E389" s="80"/>
      <c r="F389" s="50"/>
      <c r="G389" s="51"/>
    </row>
    <row r="390" spans="2:7" x14ac:dyDescent="0.2">
      <c r="B390" s="21"/>
      <c r="C390" s="6" t="s">
        <v>244</v>
      </c>
      <c r="D390" s="71"/>
      <c r="E390" s="81"/>
      <c r="F390" s="52"/>
      <c r="G390" s="53"/>
    </row>
    <row r="391" spans="2:7" x14ac:dyDescent="0.2">
      <c r="B391" s="16">
        <v>40050221</v>
      </c>
      <c r="C391" s="17" t="s">
        <v>245</v>
      </c>
      <c r="D391" s="70" t="s">
        <v>342</v>
      </c>
      <c r="E391" s="80">
        <v>111.55</v>
      </c>
      <c r="F391" s="50">
        <v>157</v>
      </c>
      <c r="G391" s="51">
        <v>140</v>
      </c>
    </row>
    <row r="392" spans="2:7" x14ac:dyDescent="0.2">
      <c r="B392" s="11">
        <v>40050277</v>
      </c>
      <c r="C392" s="12" t="s">
        <v>246</v>
      </c>
      <c r="D392" s="69" t="s">
        <v>342</v>
      </c>
      <c r="E392" s="79">
        <v>116.15</v>
      </c>
      <c r="F392" s="48">
        <v>160</v>
      </c>
      <c r="G392" s="49">
        <v>145</v>
      </c>
    </row>
    <row r="393" spans="2:7" x14ac:dyDescent="0.2">
      <c r="B393" s="16">
        <v>40050281</v>
      </c>
      <c r="C393" s="17" t="s">
        <v>247</v>
      </c>
      <c r="D393" s="70" t="s">
        <v>342</v>
      </c>
      <c r="E393" s="80">
        <v>161</v>
      </c>
      <c r="F393" s="50">
        <v>220</v>
      </c>
      <c r="G393" s="51">
        <v>200</v>
      </c>
    </row>
    <row r="394" spans="2:7" x14ac:dyDescent="0.2">
      <c r="B394" s="11">
        <v>40050280</v>
      </c>
      <c r="C394" s="12" t="s">
        <v>248</v>
      </c>
      <c r="D394" s="69" t="s">
        <v>342</v>
      </c>
      <c r="E394" s="79">
        <v>172.5</v>
      </c>
      <c r="F394" s="48">
        <v>235</v>
      </c>
      <c r="G394" s="49">
        <v>220</v>
      </c>
    </row>
    <row r="395" spans="2:7" x14ac:dyDescent="0.2">
      <c r="B395" s="16">
        <v>40050279</v>
      </c>
      <c r="C395" s="17" t="s">
        <v>249</v>
      </c>
      <c r="D395" s="70" t="s">
        <v>342</v>
      </c>
      <c r="E395" s="80">
        <v>163.30000000000001</v>
      </c>
      <c r="F395" s="50">
        <v>230</v>
      </c>
      <c r="G395" s="51">
        <v>205</v>
      </c>
    </row>
    <row r="396" spans="2:7" x14ac:dyDescent="0.2">
      <c r="B396" s="11">
        <v>40050214</v>
      </c>
      <c r="C396" s="12" t="s">
        <v>250</v>
      </c>
      <c r="D396" s="69" t="s">
        <v>342</v>
      </c>
      <c r="E396" s="79">
        <v>173.08</v>
      </c>
      <c r="F396" s="48">
        <v>235</v>
      </c>
      <c r="G396" s="49">
        <v>220</v>
      </c>
    </row>
    <row r="397" spans="2:7" x14ac:dyDescent="0.2">
      <c r="B397" s="16">
        <v>40050278</v>
      </c>
      <c r="C397" s="17" t="s">
        <v>251</v>
      </c>
      <c r="D397" s="70" t="s">
        <v>342</v>
      </c>
      <c r="E397" s="80">
        <v>178.25</v>
      </c>
      <c r="F397" s="50">
        <v>250</v>
      </c>
      <c r="G397" s="51">
        <v>235</v>
      </c>
    </row>
    <row r="398" spans="2:7" x14ac:dyDescent="0.2">
      <c r="B398" s="11">
        <v>40050294</v>
      </c>
      <c r="C398" s="12" t="s">
        <v>252</v>
      </c>
      <c r="D398" s="69" t="s">
        <v>342</v>
      </c>
      <c r="E398" s="79">
        <v>202.4</v>
      </c>
      <c r="F398" s="48">
        <v>280</v>
      </c>
      <c r="G398" s="49">
        <v>255</v>
      </c>
    </row>
    <row r="399" spans="2:7" x14ac:dyDescent="0.2">
      <c r="B399" s="16">
        <v>40050218</v>
      </c>
      <c r="C399" s="17" t="s">
        <v>253</v>
      </c>
      <c r="D399" s="70" t="s">
        <v>342</v>
      </c>
      <c r="E399" s="80">
        <v>209.3</v>
      </c>
      <c r="F399" s="50">
        <v>290</v>
      </c>
      <c r="G399" s="51">
        <v>265</v>
      </c>
    </row>
    <row r="400" spans="2:7" x14ac:dyDescent="0.2">
      <c r="B400" s="11">
        <v>40050213</v>
      </c>
      <c r="C400" s="12" t="s">
        <v>254</v>
      </c>
      <c r="D400" s="69" t="s">
        <v>342</v>
      </c>
      <c r="E400" s="79">
        <v>218.5</v>
      </c>
      <c r="F400" s="48">
        <v>315</v>
      </c>
      <c r="G400" s="49">
        <v>275</v>
      </c>
    </row>
    <row r="401" spans="2:7" x14ac:dyDescent="0.2">
      <c r="B401" s="16">
        <v>40050312</v>
      </c>
      <c r="C401" s="17" t="s">
        <v>255</v>
      </c>
      <c r="D401" s="70" t="s">
        <v>342</v>
      </c>
      <c r="E401" s="80">
        <v>228.85</v>
      </c>
      <c r="F401" s="50">
        <v>330</v>
      </c>
      <c r="G401" s="51">
        <v>285</v>
      </c>
    </row>
    <row r="402" spans="2:7" x14ac:dyDescent="0.2">
      <c r="B402" s="11"/>
      <c r="C402" s="12"/>
      <c r="D402" s="69"/>
      <c r="E402" s="79"/>
      <c r="F402" s="48"/>
      <c r="G402" s="49"/>
    </row>
    <row r="403" spans="2:7" x14ac:dyDescent="0.2">
      <c r="B403" s="21"/>
      <c r="C403" s="6" t="s">
        <v>256</v>
      </c>
      <c r="D403" s="71"/>
      <c r="E403" s="81"/>
      <c r="F403" s="52"/>
      <c r="G403" s="53"/>
    </row>
    <row r="404" spans="2:7" x14ac:dyDescent="0.2">
      <c r="B404" s="11">
        <v>40160015</v>
      </c>
      <c r="C404" s="12" t="s">
        <v>257</v>
      </c>
      <c r="D404" s="69" t="s">
        <v>335</v>
      </c>
      <c r="E404" s="79">
        <v>115.92</v>
      </c>
      <c r="F404" s="48">
        <v>160</v>
      </c>
      <c r="G404" s="49">
        <v>145</v>
      </c>
    </row>
    <row r="405" spans="2:7" x14ac:dyDescent="0.2">
      <c r="B405" s="16">
        <v>40160009</v>
      </c>
      <c r="C405" s="17" t="s">
        <v>258</v>
      </c>
      <c r="D405" s="70" t="s">
        <v>335</v>
      </c>
      <c r="E405" s="80">
        <v>172.5</v>
      </c>
      <c r="F405" s="50">
        <v>240</v>
      </c>
      <c r="G405" s="51">
        <v>220</v>
      </c>
    </row>
    <row r="406" spans="2:7" x14ac:dyDescent="0.2">
      <c r="B406" s="11">
        <v>40160002</v>
      </c>
      <c r="C406" s="12" t="s">
        <v>259</v>
      </c>
      <c r="D406" s="69" t="s">
        <v>335</v>
      </c>
      <c r="E406" s="79">
        <v>174.8</v>
      </c>
      <c r="F406" s="48">
        <v>240</v>
      </c>
      <c r="G406" s="49">
        <v>220</v>
      </c>
    </row>
    <row r="407" spans="2:7" x14ac:dyDescent="0.2">
      <c r="B407" s="16">
        <v>40160005</v>
      </c>
      <c r="C407" s="17" t="s">
        <v>260</v>
      </c>
      <c r="D407" s="70" t="s">
        <v>335</v>
      </c>
      <c r="E407" s="80">
        <v>178.25</v>
      </c>
      <c r="F407" s="50">
        <v>250</v>
      </c>
      <c r="G407" s="51">
        <v>220</v>
      </c>
    </row>
    <row r="408" spans="2:7" x14ac:dyDescent="0.2">
      <c r="B408" s="11">
        <v>40160006</v>
      </c>
      <c r="C408" s="12" t="s">
        <v>261</v>
      </c>
      <c r="D408" s="69" t="s">
        <v>335</v>
      </c>
      <c r="E408" s="79">
        <v>172.5</v>
      </c>
      <c r="F408" s="48">
        <v>245</v>
      </c>
      <c r="G408" s="49">
        <v>220</v>
      </c>
    </row>
    <row r="409" spans="2:7" x14ac:dyDescent="0.2">
      <c r="B409" s="16">
        <v>40160003</v>
      </c>
      <c r="C409" s="17" t="s">
        <v>262</v>
      </c>
      <c r="D409" s="70" t="s">
        <v>335</v>
      </c>
      <c r="E409" s="80">
        <v>202.4</v>
      </c>
      <c r="F409" s="50">
        <v>280</v>
      </c>
      <c r="G409" s="51">
        <v>255</v>
      </c>
    </row>
    <row r="410" spans="2:7" x14ac:dyDescent="0.2">
      <c r="B410" s="11">
        <v>40160010</v>
      </c>
      <c r="C410" s="12" t="s">
        <v>263</v>
      </c>
      <c r="D410" s="69" t="s">
        <v>335</v>
      </c>
      <c r="E410" s="79">
        <v>209.3</v>
      </c>
      <c r="F410" s="48">
        <v>290</v>
      </c>
      <c r="G410" s="49">
        <v>265</v>
      </c>
    </row>
    <row r="411" spans="2:7" x14ac:dyDescent="0.2">
      <c r="B411" s="16">
        <v>40160004</v>
      </c>
      <c r="C411" s="17" t="s">
        <v>264</v>
      </c>
      <c r="D411" s="70" t="s">
        <v>335</v>
      </c>
      <c r="E411" s="80">
        <v>218.5</v>
      </c>
      <c r="F411" s="50">
        <v>305</v>
      </c>
      <c r="G411" s="51">
        <v>275</v>
      </c>
    </row>
    <row r="412" spans="2:7" x14ac:dyDescent="0.2">
      <c r="B412" s="11"/>
      <c r="C412" s="12"/>
      <c r="D412" s="69"/>
      <c r="E412" s="79"/>
      <c r="F412" s="48"/>
      <c r="G412" s="49"/>
    </row>
    <row r="413" spans="2:7" x14ac:dyDescent="0.2">
      <c r="B413" s="21"/>
      <c r="C413" s="6" t="s">
        <v>265</v>
      </c>
      <c r="D413" s="71"/>
      <c r="E413" s="81"/>
      <c r="F413" s="52"/>
      <c r="G413" s="53"/>
    </row>
    <row r="414" spans="2:7" x14ac:dyDescent="0.2">
      <c r="B414" s="11">
        <v>40050348</v>
      </c>
      <c r="C414" s="12" t="s">
        <v>266</v>
      </c>
      <c r="D414" s="69" t="s">
        <v>343</v>
      </c>
      <c r="E414" s="79">
        <v>111.55</v>
      </c>
      <c r="F414" s="48">
        <v>155</v>
      </c>
      <c r="G414" s="49">
        <v>145</v>
      </c>
    </row>
    <row r="415" spans="2:7" x14ac:dyDescent="0.2">
      <c r="B415" s="16">
        <v>40050318</v>
      </c>
      <c r="C415" s="17" t="s">
        <v>267</v>
      </c>
      <c r="D415" s="70" t="s">
        <v>343</v>
      </c>
      <c r="E415" s="80">
        <v>212.75</v>
      </c>
      <c r="F415" s="50">
        <v>295</v>
      </c>
      <c r="G415" s="51">
        <v>275</v>
      </c>
    </row>
    <row r="416" spans="2:7" x14ac:dyDescent="0.2">
      <c r="B416" s="11"/>
      <c r="C416" s="12"/>
      <c r="D416" s="69"/>
      <c r="E416" s="79"/>
      <c r="F416" s="48"/>
      <c r="G416" s="49"/>
    </row>
    <row r="417" spans="2:7" x14ac:dyDescent="0.2">
      <c r="B417" s="21"/>
      <c r="C417" s="6" t="s">
        <v>268</v>
      </c>
      <c r="D417" s="71"/>
      <c r="E417" s="81"/>
      <c r="F417" s="52"/>
      <c r="G417" s="53"/>
    </row>
    <row r="418" spans="2:7" x14ac:dyDescent="0.2">
      <c r="B418" s="11">
        <v>40050345</v>
      </c>
      <c r="C418" s="12" t="s">
        <v>269</v>
      </c>
      <c r="D418" s="69" t="s">
        <v>344</v>
      </c>
      <c r="E418" s="79">
        <v>110.4</v>
      </c>
      <c r="F418" s="48">
        <v>155</v>
      </c>
      <c r="G418" s="49">
        <v>145</v>
      </c>
    </row>
    <row r="419" spans="2:7" x14ac:dyDescent="0.2">
      <c r="B419" s="16">
        <v>40050339</v>
      </c>
      <c r="C419" s="17" t="s">
        <v>270</v>
      </c>
      <c r="D419" s="70" t="s">
        <v>344</v>
      </c>
      <c r="E419" s="80">
        <v>170.2</v>
      </c>
      <c r="F419" s="50">
        <v>240</v>
      </c>
      <c r="G419" s="51">
        <v>220</v>
      </c>
    </row>
    <row r="420" spans="2:7" x14ac:dyDescent="0.2">
      <c r="B420" s="11"/>
      <c r="C420" s="12"/>
      <c r="D420" s="69"/>
      <c r="E420" s="79"/>
      <c r="F420" s="48"/>
      <c r="G420" s="49"/>
    </row>
    <row r="421" spans="2:7" x14ac:dyDescent="0.2">
      <c r="B421" s="21"/>
      <c r="C421" s="6" t="s">
        <v>271</v>
      </c>
      <c r="D421" s="71"/>
      <c r="E421" s="81"/>
      <c r="F421" s="52"/>
      <c r="G421" s="53"/>
    </row>
    <row r="422" spans="2:7" x14ac:dyDescent="0.2">
      <c r="B422" s="11">
        <v>40160017</v>
      </c>
      <c r="C422" s="12" t="s">
        <v>272</v>
      </c>
      <c r="D422" s="69" t="s">
        <v>343</v>
      </c>
      <c r="E422" s="79">
        <v>109.25</v>
      </c>
      <c r="F422" s="48">
        <v>155</v>
      </c>
      <c r="G422" s="49">
        <v>145</v>
      </c>
    </row>
    <row r="423" spans="2:7" x14ac:dyDescent="0.2">
      <c r="B423" s="16">
        <v>40160012</v>
      </c>
      <c r="C423" s="17" t="s">
        <v>273</v>
      </c>
      <c r="D423" s="70" t="s">
        <v>343</v>
      </c>
      <c r="E423" s="80">
        <v>204.7</v>
      </c>
      <c r="F423" s="50">
        <v>287</v>
      </c>
      <c r="G423" s="51">
        <v>275</v>
      </c>
    </row>
    <row r="424" spans="2:7" x14ac:dyDescent="0.2">
      <c r="B424" s="11">
        <v>40160019</v>
      </c>
      <c r="C424" s="12" t="s">
        <v>274</v>
      </c>
      <c r="D424" s="69" t="s">
        <v>343</v>
      </c>
      <c r="E424" s="79">
        <v>212.75</v>
      </c>
      <c r="F424" s="48">
        <v>298</v>
      </c>
      <c r="G424" s="49">
        <v>275</v>
      </c>
    </row>
    <row r="425" spans="2:7" x14ac:dyDescent="0.2">
      <c r="B425" s="21"/>
      <c r="C425" s="6" t="s">
        <v>275</v>
      </c>
      <c r="D425" s="71"/>
      <c r="E425" s="81"/>
      <c r="F425" s="52"/>
      <c r="G425" s="53"/>
    </row>
    <row r="426" spans="2:7" x14ac:dyDescent="0.2">
      <c r="B426" s="11">
        <v>40080247</v>
      </c>
      <c r="C426" s="12" t="s">
        <v>276</v>
      </c>
      <c r="D426" s="69" t="s">
        <v>335</v>
      </c>
      <c r="E426" s="79">
        <v>87.4</v>
      </c>
      <c r="F426" s="48">
        <v>125</v>
      </c>
      <c r="G426" s="49">
        <v>118</v>
      </c>
    </row>
    <row r="427" spans="2:7" x14ac:dyDescent="0.2">
      <c r="B427" s="16">
        <v>40080246</v>
      </c>
      <c r="C427" s="17" t="s">
        <v>277</v>
      </c>
      <c r="D427" s="70" t="s">
        <v>335</v>
      </c>
      <c r="E427" s="80">
        <v>87.58</v>
      </c>
      <c r="F427" s="50">
        <v>125</v>
      </c>
      <c r="G427" s="51">
        <v>118</v>
      </c>
    </row>
    <row r="428" spans="2:7" x14ac:dyDescent="0.2">
      <c r="B428" s="11">
        <v>40080248</v>
      </c>
      <c r="C428" s="12" t="s">
        <v>278</v>
      </c>
      <c r="D428" s="69" t="s">
        <v>335</v>
      </c>
      <c r="E428" s="79">
        <v>113.75</v>
      </c>
      <c r="F428" s="48">
        <v>165</v>
      </c>
      <c r="G428" s="49">
        <v>154</v>
      </c>
    </row>
    <row r="429" spans="2:7" x14ac:dyDescent="0.2">
      <c r="B429" s="16">
        <v>40080249</v>
      </c>
      <c r="C429" s="17" t="s">
        <v>279</v>
      </c>
      <c r="D429" s="70" t="s">
        <v>335</v>
      </c>
      <c r="E429" s="80">
        <v>116.15</v>
      </c>
      <c r="F429" s="50">
        <v>168</v>
      </c>
      <c r="G429" s="51">
        <v>157</v>
      </c>
    </row>
    <row r="430" spans="2:7" x14ac:dyDescent="0.2">
      <c r="B430" s="11">
        <v>40080283</v>
      </c>
      <c r="C430" s="12" t="s">
        <v>280</v>
      </c>
      <c r="D430" s="69" t="s">
        <v>335</v>
      </c>
      <c r="E430" s="79">
        <v>117.3</v>
      </c>
      <c r="F430" s="48">
        <v>170</v>
      </c>
      <c r="G430" s="49">
        <v>158</v>
      </c>
    </row>
    <row r="431" spans="2:7" x14ac:dyDescent="0.2">
      <c r="B431" s="16">
        <v>40080250</v>
      </c>
      <c r="C431" s="17" t="s">
        <v>281</v>
      </c>
      <c r="D431" s="70" t="s">
        <v>335</v>
      </c>
      <c r="E431" s="80">
        <v>124.2</v>
      </c>
      <c r="F431" s="50">
        <v>180</v>
      </c>
      <c r="G431" s="51">
        <v>170</v>
      </c>
    </row>
    <row r="432" spans="2:7" x14ac:dyDescent="0.2">
      <c r="B432" s="11"/>
      <c r="C432" s="12"/>
      <c r="D432" s="69"/>
      <c r="E432" s="79"/>
      <c r="F432" s="48"/>
      <c r="G432" s="49"/>
    </row>
    <row r="433" spans="2:7" x14ac:dyDescent="0.2">
      <c r="B433" s="21"/>
      <c r="C433" s="6" t="s">
        <v>282</v>
      </c>
      <c r="D433" s="71"/>
      <c r="E433" s="81"/>
      <c r="F433" s="52"/>
      <c r="G433" s="53"/>
    </row>
    <row r="434" spans="2:7" x14ac:dyDescent="0.2">
      <c r="B434" s="11">
        <v>40080105</v>
      </c>
      <c r="C434" s="12" t="s">
        <v>283</v>
      </c>
      <c r="D434" s="69" t="s">
        <v>343</v>
      </c>
      <c r="E434" s="79">
        <v>80.5</v>
      </c>
      <c r="F434" s="48">
        <v>122</v>
      </c>
      <c r="G434" s="49">
        <v>110</v>
      </c>
    </row>
    <row r="435" spans="2:7" x14ac:dyDescent="0.2">
      <c r="B435" s="16">
        <v>40080116</v>
      </c>
      <c r="C435" s="17" t="s">
        <v>284</v>
      </c>
      <c r="D435" s="70" t="s">
        <v>343</v>
      </c>
      <c r="E435" s="80">
        <v>89.7</v>
      </c>
      <c r="F435" s="50">
        <v>132</v>
      </c>
      <c r="G435" s="51">
        <v>120</v>
      </c>
    </row>
    <row r="436" spans="2:7" x14ac:dyDescent="0.2">
      <c r="B436" s="11">
        <v>40080106</v>
      </c>
      <c r="C436" s="12" t="s">
        <v>285</v>
      </c>
      <c r="D436" s="69" t="s">
        <v>343</v>
      </c>
      <c r="E436" s="79">
        <v>103.5</v>
      </c>
      <c r="F436" s="48">
        <v>165</v>
      </c>
      <c r="G436" s="49">
        <v>150</v>
      </c>
    </row>
    <row r="437" spans="2:7" x14ac:dyDescent="0.2">
      <c r="B437" s="16">
        <v>40080117</v>
      </c>
      <c r="C437" s="17" t="s">
        <v>286</v>
      </c>
      <c r="D437" s="70" t="s">
        <v>343</v>
      </c>
      <c r="E437" s="80">
        <v>109.25</v>
      </c>
      <c r="F437" s="50">
        <v>155</v>
      </c>
      <c r="G437" s="51">
        <v>140</v>
      </c>
    </row>
    <row r="438" spans="2:7" x14ac:dyDescent="0.2">
      <c r="B438" s="11">
        <v>40080115</v>
      </c>
      <c r="C438" s="12" t="s">
        <v>287</v>
      </c>
      <c r="D438" s="69" t="s">
        <v>343</v>
      </c>
      <c r="E438" s="79">
        <v>126.06</v>
      </c>
      <c r="F438" s="48">
        <v>185</v>
      </c>
      <c r="G438" s="49">
        <v>168</v>
      </c>
    </row>
    <row r="439" spans="2:7" x14ac:dyDescent="0.2">
      <c r="B439" s="16">
        <v>40080104</v>
      </c>
      <c r="C439" s="17" t="s">
        <v>288</v>
      </c>
      <c r="D439" s="70" t="s">
        <v>343</v>
      </c>
      <c r="E439" s="80">
        <v>124.2</v>
      </c>
      <c r="F439" s="50">
        <v>190</v>
      </c>
      <c r="G439" s="51">
        <v>170</v>
      </c>
    </row>
    <row r="440" spans="2:7" x14ac:dyDescent="0.2">
      <c r="B440" s="11"/>
      <c r="C440" s="12"/>
      <c r="D440" s="69"/>
      <c r="E440" s="79"/>
      <c r="F440" s="48"/>
      <c r="G440" s="49"/>
    </row>
    <row r="441" spans="2:7" ht="32.25" customHeight="1" x14ac:dyDescent="0.2">
      <c r="B441" s="21"/>
      <c r="C441" s="6" t="s">
        <v>50</v>
      </c>
      <c r="D441" s="71"/>
      <c r="E441" s="81"/>
      <c r="F441" s="52"/>
      <c r="G441" s="53"/>
    </row>
    <row r="442" spans="2:7" x14ac:dyDescent="0.2">
      <c r="B442" s="11" t="s">
        <v>531</v>
      </c>
      <c r="C442" s="12" t="s">
        <v>51</v>
      </c>
      <c r="D442" s="69" t="s">
        <v>59</v>
      </c>
      <c r="E442" s="79">
        <v>103.28437499999998</v>
      </c>
      <c r="F442" s="48">
        <v>151.48374999999999</v>
      </c>
      <c r="G442" s="49">
        <v>137.71249999999998</v>
      </c>
    </row>
    <row r="443" spans="2:7" x14ac:dyDescent="0.2">
      <c r="B443" s="16" t="s">
        <v>526</v>
      </c>
      <c r="C443" s="17" t="s">
        <v>52</v>
      </c>
      <c r="D443" s="70" t="s">
        <v>59</v>
      </c>
      <c r="E443" s="80">
        <v>137.05987499999998</v>
      </c>
      <c r="F443" s="50">
        <v>201.02114999999998</v>
      </c>
      <c r="G443" s="51">
        <v>182.74649999999997</v>
      </c>
    </row>
    <row r="444" spans="2:7" x14ac:dyDescent="0.2">
      <c r="B444" s="11" t="s">
        <v>527</v>
      </c>
      <c r="C444" s="12" t="s">
        <v>53</v>
      </c>
      <c r="D444" s="69" t="s">
        <v>59</v>
      </c>
      <c r="E444" s="79">
        <v>82.730999999999995</v>
      </c>
      <c r="F444" s="48">
        <v>121.33880000000001</v>
      </c>
      <c r="G444" s="49">
        <v>110.51</v>
      </c>
    </row>
    <row r="445" spans="2:7" x14ac:dyDescent="0.2">
      <c r="B445" s="16" t="s">
        <v>533</v>
      </c>
      <c r="C445" s="17" t="s">
        <v>534</v>
      </c>
      <c r="D445" s="70"/>
      <c r="E445" s="80"/>
      <c r="F445" s="50"/>
      <c r="G445" s="51"/>
    </row>
    <row r="446" spans="2:7" x14ac:dyDescent="0.2">
      <c r="B446" s="11" t="s">
        <v>532</v>
      </c>
      <c r="C446" s="12" t="s">
        <v>54</v>
      </c>
      <c r="D446" s="69" t="s">
        <v>59</v>
      </c>
      <c r="E446" s="79">
        <v>165.07387499999999</v>
      </c>
      <c r="F446" s="48">
        <v>242.10835</v>
      </c>
      <c r="G446" s="49">
        <v>220.51</v>
      </c>
    </row>
    <row r="447" spans="2:7" x14ac:dyDescent="0.2">
      <c r="B447" s="16" t="s">
        <v>528</v>
      </c>
      <c r="C447" s="17" t="s">
        <v>55</v>
      </c>
      <c r="D447" s="70" t="s">
        <v>59</v>
      </c>
      <c r="E447" s="80">
        <v>181.54762500000001</v>
      </c>
      <c r="F447" s="50">
        <v>266.26985000000002</v>
      </c>
      <c r="G447" s="51">
        <v>242.51</v>
      </c>
    </row>
    <row r="448" spans="2:7" x14ac:dyDescent="0.2">
      <c r="B448" s="11" t="s">
        <v>529</v>
      </c>
      <c r="C448" s="12" t="s">
        <v>530</v>
      </c>
      <c r="D448" s="69"/>
      <c r="E448" s="79"/>
      <c r="F448" s="48"/>
      <c r="G448" s="49"/>
    </row>
    <row r="449" spans="2:7" x14ac:dyDescent="0.2">
      <c r="B449" s="16" t="s">
        <v>535</v>
      </c>
      <c r="C449" s="17" t="s">
        <v>56</v>
      </c>
      <c r="D449" s="70" t="s">
        <v>59</v>
      </c>
      <c r="E449" s="80">
        <v>172.92262500000001</v>
      </c>
      <c r="F449" s="50">
        <v>253.61985000000001</v>
      </c>
      <c r="G449" s="51">
        <v>230.5635</v>
      </c>
    </row>
    <row r="450" spans="2:7" x14ac:dyDescent="0.2">
      <c r="B450" s="11" t="s">
        <v>536</v>
      </c>
      <c r="C450" s="12" t="s">
        <v>57</v>
      </c>
      <c r="D450" s="69" t="s">
        <v>59</v>
      </c>
      <c r="E450" s="79">
        <v>209.751375</v>
      </c>
      <c r="F450" s="48">
        <v>307.63535000000002</v>
      </c>
      <c r="G450" s="49">
        <v>279.66849999999999</v>
      </c>
    </row>
    <row r="451" spans="2:7" x14ac:dyDescent="0.2">
      <c r="B451" s="16" t="s">
        <v>537</v>
      </c>
      <c r="C451" s="17" t="s">
        <v>58</v>
      </c>
      <c r="D451" s="70" t="s">
        <v>59</v>
      </c>
      <c r="E451" s="80">
        <v>199.66012499999999</v>
      </c>
      <c r="F451" s="50">
        <v>292.83485000000002</v>
      </c>
      <c r="G451" s="51">
        <v>266.51</v>
      </c>
    </row>
    <row r="452" spans="2:7" x14ac:dyDescent="0.2">
      <c r="B452" s="11" t="s">
        <v>524</v>
      </c>
      <c r="C452" s="12" t="s">
        <v>525</v>
      </c>
      <c r="D452" s="69" t="s">
        <v>59</v>
      </c>
      <c r="E452" s="79">
        <v>146.34</v>
      </c>
      <c r="F452" s="48">
        <f>ROUNDUP((Tabla1[[#This Row],[EFECTIVO]]*1.05),0)</f>
        <v>205</v>
      </c>
      <c r="G452" s="49">
        <v>195</v>
      </c>
    </row>
    <row r="453" spans="2:7" x14ac:dyDescent="0.2">
      <c r="B453" s="40"/>
      <c r="C453" s="41"/>
      <c r="D453" s="72"/>
      <c r="E453" s="54"/>
      <c r="F453" s="54"/>
      <c r="G453" s="55"/>
    </row>
    <row r="454" spans="2:7" x14ac:dyDescent="0.2">
      <c r="B454" s="21"/>
      <c r="C454" s="6" t="s">
        <v>365</v>
      </c>
      <c r="D454" s="71"/>
      <c r="E454" s="81"/>
      <c r="F454" s="52"/>
      <c r="G454" s="53"/>
    </row>
    <row r="455" spans="2:7" x14ac:dyDescent="0.2">
      <c r="B455" s="16">
        <v>2402430000</v>
      </c>
      <c r="C455" s="17" t="s">
        <v>509</v>
      </c>
      <c r="D455" s="70" t="s">
        <v>59</v>
      </c>
      <c r="E455" s="80">
        <v>131.25</v>
      </c>
      <c r="F455" s="50">
        <f>ROUNDUP((Tabla1[[#This Row],[EFECTIVO]]*1.05),0)</f>
        <v>184</v>
      </c>
      <c r="G455" s="51">
        <v>175</v>
      </c>
    </row>
    <row r="456" spans="2:7" x14ac:dyDescent="0.2">
      <c r="B456" s="11">
        <v>2403590000</v>
      </c>
      <c r="C456" s="12" t="s">
        <v>509</v>
      </c>
      <c r="D456" s="69" t="s">
        <v>59</v>
      </c>
      <c r="E456" s="79">
        <v>131.25</v>
      </c>
      <c r="F456" s="48">
        <f>ROUNDUP((Tabla1[[#This Row],[EFECTIVO]]*1.05),0)</f>
        <v>184</v>
      </c>
      <c r="G456" s="49">
        <v>175</v>
      </c>
    </row>
    <row r="457" spans="2:7" x14ac:dyDescent="0.2">
      <c r="B457" s="16">
        <v>2444630000</v>
      </c>
      <c r="C457" s="17" t="s">
        <v>546</v>
      </c>
      <c r="D457" s="70" t="s">
        <v>59</v>
      </c>
      <c r="E457" s="80">
        <v>194.25</v>
      </c>
      <c r="F457" s="50">
        <f>ROUNDUP((Tabla1[[#This Row],[EFECTIVO]]*1.05),0)</f>
        <v>272</v>
      </c>
      <c r="G457" s="51">
        <v>259</v>
      </c>
    </row>
    <row r="458" spans="2:7" x14ac:dyDescent="0.2">
      <c r="B458" s="11">
        <v>2444690000</v>
      </c>
      <c r="C458" s="12" t="s">
        <v>547</v>
      </c>
      <c r="D458" s="69" t="s">
        <v>59</v>
      </c>
      <c r="E458" s="79">
        <v>157.815</v>
      </c>
      <c r="F458" s="48">
        <f>ROUNDUP((Tabla1[[#This Row],[EFECTIVO]]*1.05),0)</f>
        <v>221</v>
      </c>
      <c r="G458" s="49">
        <v>210.42</v>
      </c>
    </row>
    <row r="459" spans="2:7" x14ac:dyDescent="0.2">
      <c r="B459" s="16">
        <v>2403880000</v>
      </c>
      <c r="C459" s="17" t="s">
        <v>548</v>
      </c>
      <c r="D459" s="70" t="s">
        <v>59</v>
      </c>
      <c r="E459" s="80">
        <v>124.8075</v>
      </c>
      <c r="F459" s="50">
        <f>ROUNDUP((Tabla1[[#This Row],[EFECTIVO]]*1.05),0)</f>
        <v>175</v>
      </c>
      <c r="G459" s="51">
        <v>166.41</v>
      </c>
    </row>
    <row r="460" spans="2:7" x14ac:dyDescent="0.2">
      <c r="B460" s="11">
        <v>2443830000</v>
      </c>
      <c r="C460" s="12" t="s">
        <v>549</v>
      </c>
      <c r="D460" s="69" t="s">
        <v>59</v>
      </c>
      <c r="E460" s="79">
        <v>168.75</v>
      </c>
      <c r="F460" s="48">
        <f>ROUNDUP((Tabla1[[#This Row],[EFECTIVO]]*1.05),0)</f>
        <v>237</v>
      </c>
      <c r="G460" s="49">
        <v>225</v>
      </c>
    </row>
    <row r="461" spans="2:7" x14ac:dyDescent="0.2">
      <c r="B461" s="16">
        <v>2443820000</v>
      </c>
      <c r="C461" s="17" t="s">
        <v>550</v>
      </c>
      <c r="D461" s="70" t="s">
        <v>59</v>
      </c>
      <c r="E461" s="80">
        <v>176.25</v>
      </c>
      <c r="F461" s="50">
        <f>ROUNDUP((Tabla1[[#This Row],[EFECTIVO]]*1.05),0)</f>
        <v>247</v>
      </c>
      <c r="G461" s="51">
        <v>235</v>
      </c>
    </row>
    <row r="462" spans="2:7" x14ac:dyDescent="0.2">
      <c r="B462" s="11">
        <v>2403890000</v>
      </c>
      <c r="C462" s="12" t="s">
        <v>551</v>
      </c>
      <c r="D462" s="69" t="s">
        <v>59</v>
      </c>
      <c r="E462" s="79">
        <v>143.52000000000001</v>
      </c>
      <c r="F462" s="48">
        <f>ROUNDUP((Tabla1[[#This Row],[EFECTIVO]]*1.05),0)</f>
        <v>201</v>
      </c>
      <c r="G462" s="49">
        <v>191.36</v>
      </c>
    </row>
    <row r="463" spans="2:7" x14ac:dyDescent="0.2">
      <c r="B463" s="16">
        <v>2446370000</v>
      </c>
      <c r="C463" s="17" t="s">
        <v>552</v>
      </c>
      <c r="D463" s="70" t="s">
        <v>59</v>
      </c>
      <c r="E463" s="80">
        <v>199</v>
      </c>
      <c r="F463" s="50">
        <f>ROUNDUP((Tabla1[[#This Row],[EFECTIVO]]*1.05),0)</f>
        <v>245</v>
      </c>
      <c r="G463" s="51">
        <v>233.22</v>
      </c>
    </row>
    <row r="464" spans="2:7" x14ac:dyDescent="0.2">
      <c r="B464" s="11">
        <v>2443850000</v>
      </c>
      <c r="C464" s="12" t="s">
        <v>553</v>
      </c>
      <c r="D464" s="69" t="s">
        <v>59</v>
      </c>
      <c r="E464" s="79">
        <v>213.75</v>
      </c>
      <c r="F464" s="48">
        <f>ROUNDUP((Tabla1[[#This Row],[EFECTIVO]]*1.05),0)</f>
        <v>300</v>
      </c>
      <c r="G464" s="49">
        <v>285</v>
      </c>
    </row>
    <row r="465" spans="2:7" x14ac:dyDescent="0.2">
      <c r="B465" s="16">
        <v>2444640000</v>
      </c>
      <c r="C465" s="17" t="s">
        <v>554</v>
      </c>
      <c r="D465" s="70" t="s">
        <v>59</v>
      </c>
      <c r="E465" s="80">
        <v>216.75</v>
      </c>
      <c r="F465" s="50">
        <f>ROUNDUP((Tabla1[[#This Row],[EFECTIVO]]*1.05),0)</f>
        <v>304</v>
      </c>
      <c r="G465" s="51">
        <v>289</v>
      </c>
    </row>
    <row r="466" spans="2:7" x14ac:dyDescent="0.2">
      <c r="B466" s="11">
        <v>2443840000</v>
      </c>
      <c r="C466" s="12" t="s">
        <v>555</v>
      </c>
      <c r="D466" s="69" t="s">
        <v>59</v>
      </c>
      <c r="E466" s="79">
        <v>228.75</v>
      </c>
      <c r="F466" s="48">
        <f>ROUNDUP((Tabla1[[#This Row],[EFECTIVO]]*1.05),0)</f>
        <v>321</v>
      </c>
      <c r="G466" s="49">
        <v>305</v>
      </c>
    </row>
    <row r="467" spans="2:7" x14ac:dyDescent="0.2">
      <c r="B467" s="16">
        <v>2445790000</v>
      </c>
      <c r="C467" s="17" t="s">
        <v>556</v>
      </c>
      <c r="D467" s="70" t="s">
        <v>59</v>
      </c>
      <c r="E467" s="80">
        <v>219</v>
      </c>
      <c r="F467" s="50">
        <f>ROUNDUP((Tabla1[[#This Row],[EFECTIVO]]*1.05),0)</f>
        <v>307</v>
      </c>
      <c r="G467" s="51">
        <v>292</v>
      </c>
    </row>
    <row r="468" spans="2:7" x14ac:dyDescent="0.2">
      <c r="B468" s="11">
        <v>2444650000</v>
      </c>
      <c r="C468" s="12" t="s">
        <v>557</v>
      </c>
      <c r="D468" s="69" t="s">
        <v>59</v>
      </c>
      <c r="E468" s="79">
        <v>240</v>
      </c>
      <c r="F468" s="48">
        <f>ROUNDUP((Tabla1[[#This Row],[EFECTIVO]]*1.05),0)</f>
        <v>336</v>
      </c>
      <c r="G468" s="49">
        <v>320</v>
      </c>
    </row>
    <row r="469" spans="2:7" x14ac:dyDescent="0.2">
      <c r="B469" s="16">
        <v>2402450000</v>
      </c>
      <c r="C469" s="17" t="s">
        <v>558</v>
      </c>
      <c r="D469" s="70" t="s">
        <v>59</v>
      </c>
      <c r="E469" s="80">
        <v>127</v>
      </c>
      <c r="F469" s="50">
        <f>ROUNDUP((Tabla1[[#This Row],[EFECTIVO]]*1.05),0)</f>
        <v>199</v>
      </c>
      <c r="G469" s="51">
        <v>188.6</v>
      </c>
    </row>
    <row r="470" spans="2:7" x14ac:dyDescent="0.2">
      <c r="B470" s="30"/>
      <c r="C470" s="31"/>
      <c r="D470" s="75"/>
      <c r="E470" s="59"/>
      <c r="F470" s="59"/>
      <c r="G470" s="60"/>
    </row>
    <row r="471" spans="2:7" x14ac:dyDescent="0.2">
      <c r="B471" s="11"/>
      <c r="C471" s="12" t="s">
        <v>968</v>
      </c>
      <c r="D471" s="69"/>
      <c r="E471" s="79"/>
      <c r="F471" s="48"/>
      <c r="G471" s="49"/>
    </row>
    <row r="472" spans="2:7" x14ac:dyDescent="0.2">
      <c r="B472" s="16">
        <v>2446490000</v>
      </c>
      <c r="C472" s="17" t="s">
        <v>559</v>
      </c>
      <c r="D472" s="70" t="s">
        <v>335</v>
      </c>
      <c r="E472" s="80">
        <v>148.97399999999999</v>
      </c>
      <c r="F472" s="50">
        <f>ROUNDUP((Tabla1[[#This Row],[EFECTIVO]]*1.05),0)</f>
        <v>209</v>
      </c>
      <c r="G472" s="51">
        <v>198.63199999999998</v>
      </c>
    </row>
    <row r="473" spans="2:7" x14ac:dyDescent="0.2">
      <c r="B473" s="11">
        <v>2446380000</v>
      </c>
      <c r="C473" s="12" t="s">
        <v>502</v>
      </c>
      <c r="D473" s="69" t="s">
        <v>335</v>
      </c>
      <c r="E473" s="79">
        <v>199</v>
      </c>
      <c r="F473" s="48">
        <f>ROUNDUP((Tabla1[[#This Row],[EFECTIVO]]*1.05),0)</f>
        <v>314</v>
      </c>
      <c r="G473" s="49">
        <v>299</v>
      </c>
    </row>
    <row r="474" spans="2:7" x14ac:dyDescent="0.2">
      <c r="B474" s="16">
        <v>2446390000</v>
      </c>
      <c r="C474" s="17" t="s">
        <v>560</v>
      </c>
      <c r="D474" s="70" t="s">
        <v>335</v>
      </c>
      <c r="E474" s="80">
        <v>221.25</v>
      </c>
      <c r="F474" s="50">
        <f>ROUNDUP((Tabla1[[#This Row],[EFECTIVO]]*1.05),0)</f>
        <v>310</v>
      </c>
      <c r="G474" s="51">
        <v>295</v>
      </c>
    </row>
    <row r="475" spans="2:7" x14ac:dyDescent="0.2">
      <c r="B475" s="11">
        <v>2446430000</v>
      </c>
      <c r="C475" s="12" t="s">
        <v>561</v>
      </c>
      <c r="D475" s="69" t="s">
        <v>335</v>
      </c>
      <c r="E475" s="79">
        <v>228.75</v>
      </c>
      <c r="F475" s="48">
        <f>ROUNDUP((Tabla1[[#This Row],[EFECTIVO]]*1.05),0)</f>
        <v>321</v>
      </c>
      <c r="G475" s="49">
        <v>305</v>
      </c>
    </row>
    <row r="476" spans="2:7" x14ac:dyDescent="0.2">
      <c r="B476" s="16">
        <v>2446450000</v>
      </c>
      <c r="C476" s="17" t="s">
        <v>562</v>
      </c>
      <c r="D476" s="70" t="s">
        <v>335</v>
      </c>
      <c r="E476" s="80">
        <v>224.25</v>
      </c>
      <c r="F476" s="50">
        <f>ROUNDUP((Tabla1[[#This Row],[EFECTIVO]]*1.05),0)</f>
        <v>314</v>
      </c>
      <c r="G476" s="51">
        <v>299</v>
      </c>
    </row>
    <row r="477" spans="2:7" x14ac:dyDescent="0.2">
      <c r="B477" s="16"/>
      <c r="C477" s="17"/>
      <c r="D477" s="70"/>
      <c r="E477" s="80"/>
      <c r="F477" s="50"/>
      <c r="G477" s="51"/>
    </row>
    <row r="478" spans="2:7" x14ac:dyDescent="0.2">
      <c r="B478" s="21"/>
      <c r="C478" s="6" t="s">
        <v>330</v>
      </c>
      <c r="D478" s="71"/>
      <c r="E478" s="81"/>
      <c r="F478" s="52"/>
      <c r="G478" s="53"/>
    </row>
    <row r="479" spans="2:7" x14ac:dyDescent="0.2">
      <c r="B479" s="11">
        <v>40080276</v>
      </c>
      <c r="C479" s="12" t="s">
        <v>5</v>
      </c>
      <c r="D479" s="69" t="s">
        <v>23</v>
      </c>
      <c r="E479" s="79">
        <v>30.48</v>
      </c>
      <c r="F479" s="48">
        <v>45</v>
      </c>
      <c r="G479" s="49">
        <v>40</v>
      </c>
    </row>
    <row r="480" spans="2:7" x14ac:dyDescent="0.2">
      <c r="B480" s="16">
        <v>40080277</v>
      </c>
      <c r="C480" s="17" t="s">
        <v>7</v>
      </c>
      <c r="D480" s="70" t="s">
        <v>23</v>
      </c>
      <c r="E480" s="80">
        <v>37.72</v>
      </c>
      <c r="F480" s="50">
        <v>53</v>
      </c>
      <c r="G480" s="51">
        <v>48</v>
      </c>
    </row>
    <row r="481" spans="2:7" x14ac:dyDescent="0.2">
      <c r="B481" s="11">
        <v>40080218</v>
      </c>
      <c r="C481" s="12" t="s">
        <v>331</v>
      </c>
      <c r="D481" s="69" t="s">
        <v>23</v>
      </c>
      <c r="E481" s="79">
        <v>22.43</v>
      </c>
      <c r="F481" s="48">
        <v>35</v>
      </c>
      <c r="G481" s="49">
        <v>30</v>
      </c>
    </row>
    <row r="482" spans="2:7" x14ac:dyDescent="0.2">
      <c r="B482" s="16">
        <v>40080275</v>
      </c>
      <c r="C482" s="17" t="s">
        <v>332</v>
      </c>
      <c r="D482" s="70" t="s">
        <v>23</v>
      </c>
      <c r="E482" s="80">
        <v>38.869999999999997</v>
      </c>
      <c r="F482" s="50">
        <v>55</v>
      </c>
      <c r="G482" s="51">
        <v>50</v>
      </c>
    </row>
    <row r="483" spans="2:7" x14ac:dyDescent="0.2">
      <c r="B483" s="11">
        <v>40080272</v>
      </c>
      <c r="C483" s="12" t="s">
        <v>333</v>
      </c>
      <c r="D483" s="69" t="s">
        <v>23</v>
      </c>
      <c r="E483" s="79">
        <v>50.23</v>
      </c>
      <c r="F483" s="48">
        <v>75</v>
      </c>
      <c r="G483" s="49">
        <v>68</v>
      </c>
    </row>
    <row r="484" spans="2:7" x14ac:dyDescent="0.2">
      <c r="B484" s="16" t="s">
        <v>564</v>
      </c>
      <c r="C484" s="17" t="s">
        <v>46</v>
      </c>
      <c r="D484" s="70" t="s">
        <v>23</v>
      </c>
      <c r="E484" s="80">
        <v>42.409124999999996</v>
      </c>
      <c r="F484" s="50">
        <v>62.200050000000005</v>
      </c>
      <c r="G484" s="51">
        <v>56.545499999999997</v>
      </c>
    </row>
    <row r="485" spans="2:7" x14ac:dyDescent="0.2">
      <c r="B485" s="11">
        <v>183833</v>
      </c>
      <c r="C485" s="12" t="s">
        <v>47</v>
      </c>
      <c r="D485" s="69" t="s">
        <v>23</v>
      </c>
      <c r="E485" s="79">
        <v>47.239125000000001</v>
      </c>
      <c r="F485" s="48">
        <v>69.284050000000008</v>
      </c>
      <c r="G485" s="49">
        <v>62.985500000000002</v>
      </c>
    </row>
    <row r="486" spans="2:7" x14ac:dyDescent="0.2">
      <c r="B486" s="16">
        <v>95189</v>
      </c>
      <c r="C486" s="17" t="s">
        <v>48</v>
      </c>
      <c r="D486" s="70" t="s">
        <v>23</v>
      </c>
      <c r="E486" s="80">
        <v>51.948374999999984</v>
      </c>
      <c r="F486" s="50">
        <v>76.190949999999987</v>
      </c>
      <c r="G486" s="51">
        <v>69.264499999999984</v>
      </c>
    </row>
    <row r="487" spans="2:7" x14ac:dyDescent="0.2">
      <c r="B487" s="11">
        <v>706533</v>
      </c>
      <c r="C487" s="12" t="s">
        <v>49</v>
      </c>
      <c r="D487" s="69" t="s">
        <v>23</v>
      </c>
      <c r="E487" s="79">
        <v>40.796250000000001</v>
      </c>
      <c r="F487" s="48">
        <v>59.834499999999998</v>
      </c>
      <c r="G487" s="49">
        <v>54.394999999999996</v>
      </c>
    </row>
    <row r="488" spans="2:7" x14ac:dyDescent="0.2">
      <c r="B488" s="16"/>
      <c r="C488" s="26" t="s">
        <v>956</v>
      </c>
      <c r="D488" s="70"/>
      <c r="E488" s="80"/>
      <c r="F488" s="50"/>
      <c r="G488" s="51"/>
    </row>
    <row r="489" spans="2:7" x14ac:dyDescent="0.2">
      <c r="B489" s="11">
        <v>2401010000</v>
      </c>
      <c r="C489" s="12" t="s">
        <v>565</v>
      </c>
      <c r="D489" s="69" t="s">
        <v>23</v>
      </c>
      <c r="E489" s="79">
        <v>44.9925</v>
      </c>
      <c r="F489" s="48">
        <f>ROUNDUP((Tabla1[[#This Row],[EFECTIVO]]*1.05),0)</f>
        <v>63</v>
      </c>
      <c r="G489" s="49">
        <v>59.99</v>
      </c>
    </row>
    <row r="490" spans="2:7" x14ac:dyDescent="0.2">
      <c r="B490" s="16">
        <v>2401100000</v>
      </c>
      <c r="C490" s="17" t="s">
        <v>566</v>
      </c>
      <c r="D490" s="70" t="s">
        <v>23</v>
      </c>
      <c r="E490" s="80">
        <v>49.99</v>
      </c>
      <c r="F490" s="50">
        <f>ROUNDUP((Tabla1[[#This Row],[EFECTIVO]]*1.05),0)</f>
        <v>92</v>
      </c>
      <c r="G490" s="51">
        <v>87.399999999999991</v>
      </c>
    </row>
    <row r="491" spans="2:7" x14ac:dyDescent="0.2">
      <c r="B491" s="11">
        <v>2401360000</v>
      </c>
      <c r="C491" s="12" t="s">
        <v>567</v>
      </c>
      <c r="D491" s="69" t="s">
        <v>23</v>
      </c>
      <c r="E491" s="79">
        <v>51.494999999999997</v>
      </c>
      <c r="F491" s="48">
        <f>ROUNDUP((Tabla1[[#This Row],[EFECTIVO]]*1.05),0)</f>
        <v>73</v>
      </c>
      <c r="G491" s="49">
        <v>68.66</v>
      </c>
    </row>
    <row r="492" spans="2:7" x14ac:dyDescent="0.2">
      <c r="B492" s="16">
        <v>2401020000</v>
      </c>
      <c r="C492" s="17" t="s">
        <v>568</v>
      </c>
      <c r="D492" s="70" t="s">
        <v>23</v>
      </c>
      <c r="E492" s="80">
        <v>42.447321428571421</v>
      </c>
      <c r="F492" s="50">
        <f>ROUNDUP((Tabla1[[#This Row],[EFECTIVO]]*1.05),0)</f>
        <v>60</v>
      </c>
      <c r="G492" s="51">
        <v>56.596428571428561</v>
      </c>
    </row>
    <row r="493" spans="2:7" x14ac:dyDescent="0.2">
      <c r="B493" s="11">
        <v>2401030000</v>
      </c>
      <c r="C493" s="12" t="s">
        <v>569</v>
      </c>
      <c r="D493" s="69" t="s">
        <v>23</v>
      </c>
      <c r="E493" s="79">
        <v>46.628906249999986</v>
      </c>
      <c r="F493" s="48">
        <f>ROUNDUP((Tabla1[[#This Row],[EFECTIVO]]*1.05),0)</f>
        <v>66</v>
      </c>
      <c r="G493" s="49">
        <v>62.171874999999986</v>
      </c>
    </row>
    <row r="494" spans="2:7" x14ac:dyDescent="0.2">
      <c r="B494" s="16">
        <v>2400090000</v>
      </c>
      <c r="C494" s="17" t="s">
        <v>570</v>
      </c>
      <c r="D494" s="70" t="s">
        <v>23</v>
      </c>
      <c r="E494" s="80">
        <v>51.494999999999997</v>
      </c>
      <c r="F494" s="50">
        <f>ROUNDUP((Tabla1[[#This Row],[EFECTIVO]]*1.05),0)</f>
        <v>73</v>
      </c>
      <c r="G494" s="51">
        <v>68.66</v>
      </c>
    </row>
    <row r="495" spans="2:7" x14ac:dyDescent="0.2">
      <c r="B495" s="11">
        <v>2401070000</v>
      </c>
      <c r="C495" s="12" t="s">
        <v>571</v>
      </c>
      <c r="D495" s="69" t="s">
        <v>23</v>
      </c>
      <c r="E495" s="79">
        <v>57.269999999999996</v>
      </c>
      <c r="F495" s="48">
        <f>ROUNDUP((Tabla1[[#This Row],[EFECTIVO]]*1.05),0)</f>
        <v>81</v>
      </c>
      <c r="G495" s="49">
        <v>76.36</v>
      </c>
    </row>
    <row r="496" spans="2:7" x14ac:dyDescent="0.2">
      <c r="B496" s="16">
        <v>2401080000</v>
      </c>
      <c r="C496" s="17" t="s">
        <v>572</v>
      </c>
      <c r="D496" s="70" t="s">
        <v>23</v>
      </c>
      <c r="E496" s="80">
        <v>68.745000000000005</v>
      </c>
      <c r="F496" s="50">
        <f>ROUNDUP((Tabla1[[#This Row],[EFECTIVO]]*1.05),0)</f>
        <v>97</v>
      </c>
      <c r="G496" s="51">
        <v>91.66</v>
      </c>
    </row>
    <row r="497" spans="2:7" x14ac:dyDescent="0.2">
      <c r="B497" s="11">
        <v>2401120000</v>
      </c>
      <c r="C497" s="12" t="s">
        <v>573</v>
      </c>
      <c r="D497" s="69" t="s">
        <v>23</v>
      </c>
      <c r="E497" s="79">
        <v>63.052499999999995</v>
      </c>
      <c r="F497" s="48">
        <f>ROUNDUP((Tabla1[[#This Row],[EFECTIVO]]*1.05),0)</f>
        <v>89</v>
      </c>
      <c r="G497" s="49">
        <v>84.07</v>
      </c>
    </row>
    <row r="498" spans="2:7" x14ac:dyDescent="0.2">
      <c r="B498" s="16">
        <v>2401110000</v>
      </c>
      <c r="C498" s="17" t="s">
        <v>574</v>
      </c>
      <c r="D498" s="70" t="s">
        <v>23</v>
      </c>
      <c r="E498" s="80">
        <v>71.677499999999995</v>
      </c>
      <c r="F498" s="50">
        <f>ROUNDUP((Tabla1[[#This Row],[EFECTIVO]]*1.05),0)</f>
        <v>101</v>
      </c>
      <c r="G498" s="51">
        <v>95.57</v>
      </c>
    </row>
    <row r="499" spans="2:7" x14ac:dyDescent="0.2">
      <c r="B499" s="11">
        <v>2401160000</v>
      </c>
      <c r="C499" s="12" t="s">
        <v>575</v>
      </c>
      <c r="D499" s="69" t="s">
        <v>23</v>
      </c>
      <c r="E499" s="79">
        <v>50</v>
      </c>
      <c r="F499" s="48">
        <f>ROUNDUP((Tabla1[[#This Row],[EFECTIVO]]*1.05),0)</f>
        <v>94</v>
      </c>
      <c r="G499" s="49">
        <v>89.24</v>
      </c>
    </row>
    <row r="500" spans="2:7" x14ac:dyDescent="0.2">
      <c r="B500" s="16">
        <v>2401170000</v>
      </c>
      <c r="C500" s="17" t="s">
        <v>576</v>
      </c>
      <c r="D500" s="70" t="s">
        <v>23</v>
      </c>
      <c r="E500" s="80">
        <v>83.287499999999994</v>
      </c>
      <c r="F500" s="50">
        <f>ROUNDUP((Tabla1[[#This Row],[EFECTIVO]]*1.05),0)</f>
        <v>117</v>
      </c>
      <c r="G500" s="51">
        <v>111.05</v>
      </c>
    </row>
    <row r="501" spans="2:7" x14ac:dyDescent="0.2">
      <c r="B501" s="11"/>
      <c r="C501" s="27" t="s">
        <v>955</v>
      </c>
      <c r="D501" s="69"/>
      <c r="E501" s="79"/>
      <c r="F501" s="48"/>
      <c r="G501" s="49"/>
    </row>
    <row r="502" spans="2:7" x14ac:dyDescent="0.2">
      <c r="B502" s="16">
        <v>2200820000</v>
      </c>
      <c r="C502" s="17" t="s">
        <v>577</v>
      </c>
      <c r="D502" s="70" t="s">
        <v>23</v>
      </c>
      <c r="E502" s="80">
        <v>68.290000000000006</v>
      </c>
      <c r="F502" s="50">
        <f>ROUNDUP((Tabla1[[#This Row],[EFECTIVO]]*1.05),0)</f>
        <v>134</v>
      </c>
      <c r="G502" s="51">
        <v>127.32142857142856</v>
      </c>
    </row>
    <row r="503" spans="2:7" x14ac:dyDescent="0.2">
      <c r="B503" s="11">
        <v>2200890000</v>
      </c>
      <c r="C503" s="12" t="s">
        <v>578</v>
      </c>
      <c r="D503" s="69" t="s">
        <v>23</v>
      </c>
      <c r="E503" s="79">
        <v>119.66417410714284</v>
      </c>
      <c r="F503" s="48">
        <f>ROUNDUP((Tabla1[[#This Row],[EFECTIVO]]*1.05),0)</f>
        <v>168</v>
      </c>
      <c r="G503" s="49">
        <v>159.55223214285712</v>
      </c>
    </row>
    <row r="504" spans="2:7" x14ac:dyDescent="0.2">
      <c r="B504" s="16">
        <v>2200760000</v>
      </c>
      <c r="C504" s="17" t="s">
        <v>579</v>
      </c>
      <c r="D504" s="70" t="s">
        <v>23</v>
      </c>
      <c r="E504" s="80">
        <v>87.882589285714275</v>
      </c>
      <c r="F504" s="50">
        <f>ROUNDUP((Tabla1[[#This Row],[EFECTIVO]]*1.05),0)</f>
        <v>124</v>
      </c>
      <c r="G504" s="51">
        <v>117.1767857142857</v>
      </c>
    </row>
    <row r="505" spans="2:7" x14ac:dyDescent="0.2">
      <c r="B505" s="40"/>
      <c r="C505" s="41"/>
      <c r="D505" s="72"/>
      <c r="E505" s="54"/>
      <c r="F505" s="54"/>
      <c r="G505" s="55"/>
    </row>
    <row r="506" spans="2:7" x14ac:dyDescent="0.2">
      <c r="B506" s="40"/>
      <c r="C506" s="41"/>
      <c r="D506" s="72"/>
      <c r="E506" s="54"/>
      <c r="F506" s="54"/>
      <c r="G506" s="55"/>
    </row>
    <row r="507" spans="2:7" x14ac:dyDescent="0.2">
      <c r="B507" s="40"/>
      <c r="C507" s="41"/>
      <c r="D507" s="72"/>
      <c r="E507" s="54"/>
      <c r="F507" s="54"/>
      <c r="G507" s="55"/>
    </row>
    <row r="508" spans="2:7" x14ac:dyDescent="0.2">
      <c r="B508" s="40"/>
      <c r="C508" s="41"/>
      <c r="D508" s="72"/>
      <c r="E508" s="54"/>
      <c r="F508" s="54"/>
      <c r="G508" s="55"/>
    </row>
    <row r="509" spans="2:7" x14ac:dyDescent="0.2">
      <c r="B509" s="40"/>
      <c r="C509" s="41"/>
      <c r="D509" s="72"/>
      <c r="E509" s="54"/>
      <c r="F509" s="54"/>
      <c r="G509" s="55"/>
    </row>
    <row r="510" spans="2:7" x14ac:dyDescent="0.2">
      <c r="B510" s="40"/>
      <c r="C510" s="41"/>
      <c r="D510" s="72"/>
      <c r="E510" s="54"/>
      <c r="F510" s="54"/>
      <c r="G510" s="55"/>
    </row>
    <row r="511" spans="2:7" x14ac:dyDescent="0.2">
      <c r="B511" s="40"/>
      <c r="C511" s="41"/>
      <c r="D511" s="72"/>
      <c r="E511" s="54"/>
      <c r="F511" s="54"/>
      <c r="G511" s="55"/>
    </row>
    <row r="512" spans="2:7" x14ac:dyDescent="0.2">
      <c r="B512" s="40"/>
      <c r="C512" s="41"/>
      <c r="D512" s="72"/>
      <c r="E512" s="54"/>
      <c r="F512" s="54"/>
      <c r="G512" s="55"/>
    </row>
    <row r="513" spans="2:9" x14ac:dyDescent="0.2">
      <c r="B513" s="11"/>
      <c r="C513" s="12"/>
      <c r="D513" s="69"/>
      <c r="E513" s="79"/>
      <c r="F513" s="48"/>
      <c r="G513" s="49"/>
    </row>
    <row r="514" spans="2:9" x14ac:dyDescent="0.2">
      <c r="B514" s="21"/>
      <c r="C514" s="6" t="s">
        <v>563</v>
      </c>
      <c r="D514" s="71"/>
      <c r="E514" s="81"/>
      <c r="F514" s="52"/>
      <c r="G514" s="53"/>
    </row>
    <row r="515" spans="2:9" x14ac:dyDescent="0.2">
      <c r="B515" s="11">
        <v>2071430000</v>
      </c>
      <c r="C515" s="12" t="s">
        <v>508</v>
      </c>
      <c r="D515" s="69" t="s">
        <v>523</v>
      </c>
      <c r="E515" s="79">
        <v>114.88962053571427</v>
      </c>
      <c r="F515" s="48">
        <f>ROUNDUP((Tabla1[[#This Row],[EFECTIVO]]*1.04),0)</f>
        <v>160</v>
      </c>
      <c r="G515" s="49">
        <v>153.18616071428571</v>
      </c>
    </row>
    <row r="516" spans="2:9" x14ac:dyDescent="0.2">
      <c r="B516" s="16">
        <v>2405670000</v>
      </c>
      <c r="C516" s="17" t="s">
        <v>509</v>
      </c>
      <c r="D516" s="70" t="s">
        <v>523</v>
      </c>
      <c r="E516" s="80">
        <v>115.5</v>
      </c>
      <c r="F516" s="50">
        <f>ROUNDUP((Tabla1[[#This Row],[EFECTIVO]]*1.04),0)</f>
        <v>161</v>
      </c>
      <c r="G516" s="51">
        <v>154</v>
      </c>
    </row>
    <row r="517" spans="2:9" x14ac:dyDescent="0.2">
      <c r="B517" s="11">
        <v>2471440000</v>
      </c>
      <c r="C517" s="12" t="s">
        <v>509</v>
      </c>
      <c r="D517" s="69" t="s">
        <v>523</v>
      </c>
      <c r="E517" s="79">
        <v>115.5</v>
      </c>
      <c r="F517" s="48">
        <f>ROUNDUP((Tabla1[[#This Row],[EFECTIVO]]*1.04),0)</f>
        <v>161</v>
      </c>
      <c r="G517" s="49">
        <v>154</v>
      </c>
    </row>
    <row r="518" spans="2:9" x14ac:dyDescent="0.2">
      <c r="B518" s="16">
        <v>2471440009</v>
      </c>
      <c r="C518" s="17" t="s">
        <v>509</v>
      </c>
      <c r="D518" s="70" t="s">
        <v>523</v>
      </c>
      <c r="E518" s="80">
        <v>115.5</v>
      </c>
      <c r="F518" s="50">
        <f>ROUNDUP((Tabla1[[#This Row],[EFECTIVO]]*1.04),0)</f>
        <v>161</v>
      </c>
      <c r="G518" s="51">
        <v>154</v>
      </c>
    </row>
    <row r="519" spans="2:9" x14ac:dyDescent="0.2">
      <c r="B519" s="11">
        <v>2000970000</v>
      </c>
      <c r="C519" s="12" t="s">
        <v>510</v>
      </c>
      <c r="D519" s="69" t="s">
        <v>523</v>
      </c>
      <c r="E519" s="79">
        <v>101.17433035714282</v>
      </c>
      <c r="F519" s="48">
        <f>ROUNDUP((Tabla1[[#This Row],[EFECTIVO]]*1.04),0)</f>
        <v>141</v>
      </c>
      <c r="G519" s="49">
        <v>134.8991071428571</v>
      </c>
    </row>
    <row r="520" spans="2:9" x14ac:dyDescent="0.2">
      <c r="B520" s="16">
        <v>2000120000</v>
      </c>
      <c r="C520" s="17" t="s">
        <v>511</v>
      </c>
      <c r="D520" s="70" t="s">
        <v>523</v>
      </c>
      <c r="E520" s="80">
        <v>155.24999999999994</v>
      </c>
      <c r="F520" s="50">
        <f>ROUNDUP((Tabla1[[#This Row],[EFECTIVO]]*1.04),0)</f>
        <v>216</v>
      </c>
      <c r="G520" s="51">
        <v>206.99999999999994</v>
      </c>
      <c r="I520" s="37"/>
    </row>
    <row r="521" spans="2:9" x14ac:dyDescent="0.2">
      <c r="B521" s="11">
        <v>2471430000</v>
      </c>
      <c r="C521" s="12" t="s">
        <v>512</v>
      </c>
      <c r="D521" s="69" t="s">
        <v>523</v>
      </c>
      <c r="E521" s="79">
        <v>168.87287946428569</v>
      </c>
      <c r="F521" s="48">
        <f>ROUNDUP((Tabla1[[#This Row],[EFECTIVO]]*1.04),0)</f>
        <v>235</v>
      </c>
      <c r="G521" s="49">
        <v>225.16383928571423</v>
      </c>
    </row>
    <row r="522" spans="2:9" x14ac:dyDescent="0.2">
      <c r="B522" s="16">
        <v>2000230000</v>
      </c>
      <c r="C522" s="17" t="s">
        <v>513</v>
      </c>
      <c r="D522" s="70" t="s">
        <v>523</v>
      </c>
      <c r="E522" s="80">
        <v>120</v>
      </c>
      <c r="F522" s="50">
        <f>ROUNDUP((Tabla1[[#This Row],[EFECTIVO]]*1.04),0)</f>
        <v>203</v>
      </c>
      <c r="G522" s="51">
        <v>195.08928571428569</v>
      </c>
    </row>
    <row r="523" spans="2:9" x14ac:dyDescent="0.2">
      <c r="B523" s="11">
        <v>2071400000</v>
      </c>
      <c r="C523" s="12" t="s">
        <v>514</v>
      </c>
      <c r="D523" s="69" t="s">
        <v>523</v>
      </c>
      <c r="E523" s="79">
        <v>158.95412946428567</v>
      </c>
      <c r="F523" s="48">
        <f>ROUNDUP((Tabla1[[#This Row],[EFECTIVO]]*1.04),0)</f>
        <v>221</v>
      </c>
      <c r="G523" s="49">
        <v>211.93883928571424</v>
      </c>
    </row>
    <row r="524" spans="2:9" x14ac:dyDescent="0.2">
      <c r="B524" s="16">
        <v>2471410000</v>
      </c>
      <c r="C524" s="17" t="s">
        <v>515</v>
      </c>
      <c r="D524" s="70" t="s">
        <v>523</v>
      </c>
      <c r="E524" s="80">
        <v>150</v>
      </c>
      <c r="F524" s="50">
        <f>ROUNDUP((Tabla1[[#This Row],[EFECTIVO]]*1.04),0)</f>
        <v>265</v>
      </c>
      <c r="G524" s="51">
        <v>254.61205357142853</v>
      </c>
    </row>
    <row r="525" spans="2:9" x14ac:dyDescent="0.2">
      <c r="B525" s="11">
        <v>2001470000</v>
      </c>
      <c r="C525" s="12" t="s">
        <v>516</v>
      </c>
      <c r="D525" s="69" t="s">
        <v>523</v>
      </c>
      <c r="E525" s="79">
        <v>125</v>
      </c>
      <c r="F525" s="48">
        <f>ROUNDUP((Tabla1[[#This Row],[EFECTIVO]]*1.04),0)</f>
        <v>222</v>
      </c>
      <c r="G525" s="49">
        <v>212.51383928571425</v>
      </c>
    </row>
    <row r="526" spans="2:9" x14ac:dyDescent="0.2">
      <c r="B526" s="16">
        <v>2400830000</v>
      </c>
      <c r="C526" s="17" t="s">
        <v>517</v>
      </c>
      <c r="D526" s="70" t="s">
        <v>523</v>
      </c>
      <c r="E526" s="80">
        <v>177.32845982142854</v>
      </c>
      <c r="F526" s="50">
        <f>ROUNDUP((Tabla1[[#This Row],[EFECTIVO]]*1.04),0)</f>
        <v>246</v>
      </c>
      <c r="G526" s="51">
        <v>236.43794642857139</v>
      </c>
    </row>
    <row r="527" spans="2:9" x14ac:dyDescent="0.2">
      <c r="B527" s="11">
        <v>2471420000</v>
      </c>
      <c r="C527" s="12" t="s">
        <v>518</v>
      </c>
      <c r="D527" s="69" t="s">
        <v>523</v>
      </c>
      <c r="E527" s="79">
        <v>165</v>
      </c>
      <c r="F527" s="48">
        <f>ROUNDUP((Tabla1[[#This Row],[EFECTIVO]]*1.04),0)</f>
        <v>320</v>
      </c>
      <c r="G527" s="49">
        <v>306.93705357142858</v>
      </c>
    </row>
    <row r="528" spans="2:9" x14ac:dyDescent="0.2">
      <c r="B528" s="16">
        <v>2402490000</v>
      </c>
      <c r="C528" s="17" t="s">
        <v>519</v>
      </c>
      <c r="D528" s="70" t="s">
        <v>523</v>
      </c>
      <c r="E528" s="80">
        <v>175</v>
      </c>
      <c r="F528" s="50">
        <f>ROUNDUP((Tabla1[[#This Row],[EFECTIVO]]*1.04),0)</f>
        <v>358</v>
      </c>
      <c r="G528" s="51">
        <v>344.19910714285714</v>
      </c>
    </row>
    <row r="529" spans="2:7" x14ac:dyDescent="0.2">
      <c r="B529" s="11">
        <v>2000240000</v>
      </c>
      <c r="C529" s="12" t="s">
        <v>520</v>
      </c>
      <c r="D529" s="69" t="s">
        <v>523</v>
      </c>
      <c r="E529" s="79">
        <v>275.99999999999989</v>
      </c>
      <c r="F529" s="48">
        <f>ROUNDUP((Tabla1[[#This Row],[EFECTIVO]]*1.04),0)</f>
        <v>383</v>
      </c>
      <c r="G529" s="49">
        <v>367.99999999999989</v>
      </c>
    </row>
    <row r="530" spans="2:7" x14ac:dyDescent="0.2">
      <c r="B530" s="16">
        <v>2471130000</v>
      </c>
      <c r="C530" s="17" t="s">
        <v>521</v>
      </c>
      <c r="D530" s="70" t="s">
        <v>523</v>
      </c>
      <c r="E530" s="80">
        <v>221.68560267857134</v>
      </c>
      <c r="F530" s="50">
        <f>ROUNDUP((Tabla1[[#This Row],[EFECTIVO]]*1.04),0)</f>
        <v>308</v>
      </c>
      <c r="G530" s="51">
        <v>295.58080357142848</v>
      </c>
    </row>
    <row r="531" spans="2:7" x14ac:dyDescent="0.2">
      <c r="B531" s="11">
        <v>2401880000</v>
      </c>
      <c r="C531" s="12" t="s">
        <v>522</v>
      </c>
      <c r="D531" s="69" t="s">
        <v>523</v>
      </c>
      <c r="E531" s="79">
        <v>224.25</v>
      </c>
      <c r="F531" s="48">
        <f>ROUNDUP((Tabla1[[#This Row],[EFECTIVO]]*1.04),0)</f>
        <v>311</v>
      </c>
      <c r="G531" s="49">
        <v>299</v>
      </c>
    </row>
    <row r="532" spans="2:7" x14ac:dyDescent="0.2">
      <c r="B532" s="16"/>
      <c r="C532" s="17"/>
      <c r="D532" s="70"/>
      <c r="E532" s="80"/>
      <c r="F532" s="50"/>
      <c r="G532" s="51"/>
    </row>
    <row r="533" spans="2:7" x14ac:dyDescent="0.2">
      <c r="B533" s="21"/>
      <c r="C533" s="6" t="s">
        <v>334</v>
      </c>
      <c r="D533" s="71"/>
      <c r="E533" s="81"/>
      <c r="F533" s="52"/>
      <c r="G533" s="53"/>
    </row>
    <row r="534" spans="2:7" x14ac:dyDescent="0.2">
      <c r="B534" s="16">
        <v>40050361</v>
      </c>
      <c r="C534" s="17" t="s">
        <v>347</v>
      </c>
      <c r="D534" s="70" t="s">
        <v>346</v>
      </c>
      <c r="E534" s="80">
        <v>110.4</v>
      </c>
      <c r="F534" s="50">
        <v>150</v>
      </c>
      <c r="G534" s="51">
        <v>140</v>
      </c>
    </row>
    <row r="535" spans="2:7" x14ac:dyDescent="0.2">
      <c r="B535" s="11">
        <v>40050365</v>
      </c>
      <c r="C535" s="12" t="s">
        <v>348</v>
      </c>
      <c r="D535" s="69" t="s">
        <v>346</v>
      </c>
      <c r="E535" s="79">
        <v>121.9</v>
      </c>
      <c r="F535" s="48">
        <v>170</v>
      </c>
      <c r="G535" s="49">
        <v>152</v>
      </c>
    </row>
    <row r="536" spans="2:7" x14ac:dyDescent="0.2">
      <c r="B536" s="16">
        <v>40050360</v>
      </c>
      <c r="C536" s="17" t="s">
        <v>349</v>
      </c>
      <c r="D536" s="70" t="s">
        <v>346</v>
      </c>
      <c r="E536" s="80">
        <v>143.75</v>
      </c>
      <c r="F536" s="50">
        <v>200</v>
      </c>
      <c r="G536" s="51">
        <v>179</v>
      </c>
    </row>
    <row r="537" spans="2:7" x14ac:dyDescent="0.2">
      <c r="B537" s="40"/>
      <c r="C537" s="41"/>
      <c r="D537" s="72"/>
      <c r="E537" s="54"/>
      <c r="F537" s="54"/>
      <c r="G537" s="55"/>
    </row>
    <row r="538" spans="2:7" x14ac:dyDescent="0.2">
      <c r="B538" s="40"/>
      <c r="C538" s="41"/>
      <c r="D538" s="72"/>
      <c r="E538" s="54"/>
      <c r="F538" s="54"/>
      <c r="G538" s="55"/>
    </row>
    <row r="539" spans="2:7" x14ac:dyDescent="0.2">
      <c r="B539" s="11"/>
      <c r="C539" s="12"/>
      <c r="D539" s="69"/>
      <c r="E539" s="79"/>
      <c r="F539" s="48"/>
      <c r="G539" s="49"/>
    </row>
    <row r="540" spans="2:7" x14ac:dyDescent="0.2">
      <c r="B540" s="21"/>
      <c r="C540" s="6" t="s">
        <v>350</v>
      </c>
      <c r="D540" s="71"/>
      <c r="E540" s="81"/>
      <c r="F540" s="52"/>
      <c r="G540" s="53"/>
    </row>
    <row r="541" spans="2:7" x14ac:dyDescent="0.2">
      <c r="B541" s="11">
        <v>40160026</v>
      </c>
      <c r="C541" s="12" t="s">
        <v>351</v>
      </c>
      <c r="D541" s="69" t="s">
        <v>346</v>
      </c>
      <c r="E541" s="79">
        <v>98.9</v>
      </c>
      <c r="F541" s="48">
        <v>135</v>
      </c>
      <c r="G541" s="49">
        <v>125</v>
      </c>
    </row>
    <row r="542" spans="2:7" x14ac:dyDescent="0.2">
      <c r="B542" s="16">
        <v>40160027</v>
      </c>
      <c r="C542" s="17" t="s">
        <v>352</v>
      </c>
      <c r="D542" s="70" t="s">
        <v>346</v>
      </c>
      <c r="E542" s="80">
        <v>106.95</v>
      </c>
      <c r="F542" s="50">
        <v>160</v>
      </c>
      <c r="G542" s="51">
        <v>135</v>
      </c>
    </row>
    <row r="543" spans="2:7" x14ac:dyDescent="0.2">
      <c r="B543" s="11"/>
      <c r="C543" s="12"/>
      <c r="D543" s="69"/>
      <c r="E543" s="79"/>
      <c r="F543" s="48"/>
      <c r="G543" s="49"/>
    </row>
    <row r="544" spans="2:7" x14ac:dyDescent="0.2">
      <c r="B544" s="21"/>
      <c r="C544" s="6" t="s">
        <v>353</v>
      </c>
      <c r="D544" s="71"/>
      <c r="E544" s="81"/>
      <c r="F544" s="52"/>
      <c r="G544" s="53"/>
    </row>
    <row r="545" spans="2:9" x14ac:dyDescent="0.2">
      <c r="B545" s="11">
        <v>40160032</v>
      </c>
      <c r="C545" s="12" t="s">
        <v>354</v>
      </c>
      <c r="D545" s="69" t="s">
        <v>346</v>
      </c>
      <c r="E545" s="79">
        <v>97.75</v>
      </c>
      <c r="F545" s="48">
        <v>135</v>
      </c>
      <c r="G545" s="49">
        <v>121</v>
      </c>
    </row>
    <row r="546" spans="2:9" x14ac:dyDescent="0.2">
      <c r="B546" s="16">
        <v>40160028</v>
      </c>
      <c r="C546" s="17" t="s">
        <v>355</v>
      </c>
      <c r="D546" s="70" t="s">
        <v>346</v>
      </c>
      <c r="E546" s="80">
        <v>143.75</v>
      </c>
      <c r="F546" s="50">
        <v>200</v>
      </c>
      <c r="G546" s="51">
        <v>179</v>
      </c>
    </row>
    <row r="547" spans="2:9" x14ac:dyDescent="0.2">
      <c r="B547" s="11"/>
      <c r="C547" s="12"/>
      <c r="D547" s="69"/>
      <c r="E547" s="79"/>
      <c r="F547" s="48"/>
      <c r="G547" s="49"/>
    </row>
    <row r="548" spans="2:9" x14ac:dyDescent="0.2">
      <c r="B548" s="21"/>
      <c r="C548" s="6" t="s">
        <v>356</v>
      </c>
      <c r="D548" s="71"/>
      <c r="E548" s="81"/>
      <c r="F548" s="52"/>
      <c r="G548" s="53"/>
    </row>
    <row r="549" spans="2:9" x14ac:dyDescent="0.2">
      <c r="B549" s="11"/>
      <c r="C549" s="12"/>
      <c r="D549" s="69"/>
      <c r="E549" s="79"/>
      <c r="F549" s="48"/>
      <c r="G549" s="49"/>
    </row>
    <row r="550" spans="2:9" x14ac:dyDescent="0.2">
      <c r="B550" s="16" t="s">
        <v>397</v>
      </c>
      <c r="C550" s="17" t="s">
        <v>357</v>
      </c>
      <c r="D550" s="70" t="s">
        <v>358</v>
      </c>
      <c r="E550" s="80">
        <v>11.38</v>
      </c>
      <c r="F550" s="50">
        <f>ROUNDUP((Tabla1[[#This Row],[EFECTIVO]]*1.045),0)</f>
        <v>17</v>
      </c>
      <c r="G550" s="51">
        <f>ROUNDUP((Tabla1[[#This Row],[COMPRA]]*1.35),0)</f>
        <v>16</v>
      </c>
    </row>
    <row r="551" spans="2:9" x14ac:dyDescent="0.2">
      <c r="B551" s="11" t="s">
        <v>396</v>
      </c>
      <c r="C551" s="12" t="s">
        <v>359</v>
      </c>
      <c r="D551" s="69" t="s">
        <v>358</v>
      </c>
      <c r="E551" s="79">
        <v>6.79</v>
      </c>
      <c r="F551" s="48">
        <f>ROUNDUP((Tabla1[[#This Row],[EFECTIVO]]*1.045),0)</f>
        <v>11</v>
      </c>
      <c r="G551" s="49">
        <f>ROUNDUP((Tabla1[[#This Row],[COMPRA]]*1.35),0)</f>
        <v>10</v>
      </c>
    </row>
    <row r="552" spans="2:9" x14ac:dyDescent="0.2">
      <c r="B552" s="16" t="s">
        <v>398</v>
      </c>
      <c r="C552" s="17" t="s">
        <v>360</v>
      </c>
      <c r="D552" s="70" t="s">
        <v>358</v>
      </c>
      <c r="E552" s="80">
        <v>6.79</v>
      </c>
      <c r="F552" s="50">
        <f>ROUNDUP((Tabla1[[#This Row],[EFECTIVO]]*1.045),0)</f>
        <v>11</v>
      </c>
      <c r="G552" s="51">
        <f>ROUNDUP((Tabla1[[#This Row],[COMPRA]]*1.35),0)</f>
        <v>10</v>
      </c>
    </row>
    <row r="553" spans="2:9" x14ac:dyDescent="0.2">
      <c r="B553" s="11" t="s">
        <v>362</v>
      </c>
      <c r="C553" s="12" t="s">
        <v>361</v>
      </c>
      <c r="D553" s="69" t="s">
        <v>358</v>
      </c>
      <c r="E553" s="79">
        <v>10.68</v>
      </c>
      <c r="F553" s="48">
        <f>ROUNDUP((Tabla1[[#This Row],[EFECTIVO]]*1.045),0)</f>
        <v>16</v>
      </c>
      <c r="G553" s="49">
        <f>ROUNDUP((Tabla1[[#This Row],[COMPRA]]*1.35),0)</f>
        <v>15</v>
      </c>
    </row>
    <row r="554" spans="2:9" x14ac:dyDescent="0.2">
      <c r="B554" s="16" t="s">
        <v>431</v>
      </c>
      <c r="C554" s="17" t="s">
        <v>363</v>
      </c>
      <c r="D554" s="70" t="s">
        <v>358</v>
      </c>
      <c r="E554" s="80">
        <v>8.65</v>
      </c>
      <c r="F554" s="50">
        <f>ROUNDUP((Tabla1[[#This Row],[EFECTIVO]]*1.045),0)</f>
        <v>13</v>
      </c>
      <c r="G554" s="51">
        <f>ROUNDUP((Tabla1[[#This Row],[COMPRA]]*1.35),0)</f>
        <v>12</v>
      </c>
    </row>
    <row r="555" spans="2:9" x14ac:dyDescent="0.2">
      <c r="B555" s="11" t="s">
        <v>430</v>
      </c>
      <c r="C555" s="12" t="s">
        <v>364</v>
      </c>
      <c r="D555" s="69" t="s">
        <v>358</v>
      </c>
      <c r="E555" s="79">
        <v>8.52</v>
      </c>
      <c r="F555" s="48">
        <f>ROUNDUP((Tabla1[[#This Row],[EFECTIVO]]*1.045),0)</f>
        <v>13</v>
      </c>
      <c r="G555" s="49">
        <f>ROUNDUP((Tabla1[[#This Row],[COMPRA]]*1.35),0)</f>
        <v>12</v>
      </c>
    </row>
    <row r="556" spans="2:9" x14ac:dyDescent="0.2">
      <c r="B556" s="16">
        <v>170010001</v>
      </c>
      <c r="C556" s="17" t="s">
        <v>503</v>
      </c>
      <c r="D556" s="70" t="s">
        <v>358</v>
      </c>
      <c r="E556" s="80">
        <v>9.7200000000000006</v>
      </c>
      <c r="F556" s="50">
        <f>ROUNDUP((Tabla1[[#This Row],[EFECTIVO]]*1.045),0)</f>
        <v>15</v>
      </c>
      <c r="G556" s="51">
        <f>ROUNDUP((Tabla1[[#This Row],[COMPRA]]*1.35),0)</f>
        <v>14</v>
      </c>
    </row>
    <row r="557" spans="2:9" x14ac:dyDescent="0.2">
      <c r="B557" s="11">
        <v>170010010</v>
      </c>
      <c r="C557" s="12" t="s">
        <v>504</v>
      </c>
      <c r="D557" s="69" t="s">
        <v>358</v>
      </c>
      <c r="E557" s="79">
        <v>12.6</v>
      </c>
      <c r="F557" s="48">
        <f>ROUNDUP((Tabla1[[#This Row],[EFECTIVO]]*1.045),0)</f>
        <v>19</v>
      </c>
      <c r="G557" s="49">
        <f>ROUNDUP((Tabla1[[#This Row],[COMPRA]]*1.35),0)</f>
        <v>18</v>
      </c>
    </row>
    <row r="558" spans="2:9" x14ac:dyDescent="0.2">
      <c r="B558" s="16">
        <v>170010011</v>
      </c>
      <c r="C558" s="17" t="s">
        <v>505</v>
      </c>
      <c r="D558" s="70" t="s">
        <v>358</v>
      </c>
      <c r="E558" s="80">
        <v>9.7200000000000006</v>
      </c>
      <c r="F558" s="50">
        <f>ROUNDUP((Tabla1[[#This Row],[EFECTIVO]]*1.045),0)</f>
        <v>15</v>
      </c>
      <c r="G558" s="51">
        <f>ROUNDUP((Tabla1[[#This Row],[COMPRA]]*1.35),0)</f>
        <v>14</v>
      </c>
    </row>
    <row r="559" spans="2:9" x14ac:dyDescent="0.2">
      <c r="B559" s="11">
        <v>170010006</v>
      </c>
      <c r="C559" s="12" t="s">
        <v>506</v>
      </c>
      <c r="D559" s="69" t="s">
        <v>358</v>
      </c>
      <c r="E559" s="79">
        <v>12.6</v>
      </c>
      <c r="F559" s="48">
        <f>ROUNDUP((Tabla1[[#This Row],[EFECTIVO]]*1.045),0)</f>
        <v>19</v>
      </c>
      <c r="G559" s="49">
        <f>ROUNDUP((Tabla1[[#This Row],[COMPRA]]*1.35),0)</f>
        <v>18</v>
      </c>
      <c r="I559" s="38"/>
    </row>
    <row r="560" spans="2:9" x14ac:dyDescent="0.2">
      <c r="B560" s="16">
        <v>170010002</v>
      </c>
      <c r="C560" s="17" t="s">
        <v>507</v>
      </c>
      <c r="D560" s="70" t="s">
        <v>358</v>
      </c>
      <c r="E560" s="80">
        <v>9.7200000000000006</v>
      </c>
      <c r="F560" s="50">
        <f>ROUNDUP((Tabla1[[#This Row],[EFECTIVO]]*1.045),0)</f>
        <v>15</v>
      </c>
      <c r="G560" s="51">
        <f>ROUNDUP((Tabla1[[#This Row],[COMPRA]]*1.35),0)</f>
        <v>14</v>
      </c>
      <c r="I560" s="38"/>
    </row>
    <row r="561" spans="2:9" x14ac:dyDescent="0.2">
      <c r="B561" s="11" t="s">
        <v>399</v>
      </c>
      <c r="C561" s="12" t="s">
        <v>400</v>
      </c>
      <c r="D561" s="69" t="s">
        <v>401</v>
      </c>
      <c r="E561" s="79">
        <v>4.1399999999999997</v>
      </c>
      <c r="F561" s="48">
        <v>6.5</v>
      </c>
      <c r="G561" s="49">
        <v>6</v>
      </c>
      <c r="I561" s="38"/>
    </row>
    <row r="562" spans="2:9" x14ac:dyDescent="0.2">
      <c r="B562" s="34" t="s">
        <v>965</v>
      </c>
      <c r="C562" s="35" t="s">
        <v>966</v>
      </c>
      <c r="D562" s="75" t="s">
        <v>967</v>
      </c>
      <c r="E562" s="59">
        <v>2.52</v>
      </c>
      <c r="F562" s="59">
        <v>6</v>
      </c>
      <c r="G562" s="60">
        <v>5</v>
      </c>
      <c r="I562" s="38"/>
    </row>
    <row r="563" spans="2:9" x14ac:dyDescent="0.2">
      <c r="B563" s="16"/>
      <c r="C563" s="17"/>
      <c r="D563" s="70"/>
      <c r="E563" s="62"/>
      <c r="F563" s="62"/>
      <c r="G563" s="63"/>
      <c r="I563" s="38"/>
    </row>
    <row r="564" spans="2:9" x14ac:dyDescent="0.2">
      <c r="B564" s="21"/>
      <c r="C564" s="6" t="s">
        <v>954</v>
      </c>
      <c r="D564" s="71"/>
      <c r="E564" s="81"/>
      <c r="F564" s="52"/>
      <c r="G564" s="53"/>
      <c r="I564" s="38"/>
    </row>
    <row r="565" spans="2:9" x14ac:dyDescent="0.2">
      <c r="B565" s="16" t="s">
        <v>618</v>
      </c>
      <c r="C565" s="17" t="s">
        <v>791</v>
      </c>
      <c r="D565" s="70"/>
      <c r="E565" s="62"/>
      <c r="F565" s="62">
        <v>56</v>
      </c>
      <c r="G565" s="63">
        <v>54</v>
      </c>
      <c r="I565" s="38"/>
    </row>
    <row r="566" spans="2:9" x14ac:dyDescent="0.2">
      <c r="B566" s="11" t="s">
        <v>619</v>
      </c>
      <c r="C566" s="12" t="s">
        <v>580</v>
      </c>
      <c r="D566" s="69"/>
      <c r="E566" s="64"/>
      <c r="F566" s="64">
        <v>63</v>
      </c>
      <c r="G566" s="65">
        <v>60</v>
      </c>
      <c r="I566" s="38"/>
    </row>
    <row r="567" spans="2:9" x14ac:dyDescent="0.2">
      <c r="B567" s="16" t="s">
        <v>620</v>
      </c>
      <c r="C567" s="17" t="s">
        <v>792</v>
      </c>
      <c r="D567" s="70"/>
      <c r="E567" s="62"/>
      <c r="F567" s="62">
        <v>56</v>
      </c>
      <c r="G567" s="63">
        <v>54</v>
      </c>
      <c r="I567" s="38"/>
    </row>
    <row r="568" spans="2:9" x14ac:dyDescent="0.2">
      <c r="B568" s="11" t="s">
        <v>621</v>
      </c>
      <c r="C568" s="12" t="s">
        <v>793</v>
      </c>
      <c r="D568" s="69"/>
      <c r="E568" s="64"/>
      <c r="F568" s="64">
        <v>68</v>
      </c>
      <c r="G568" s="65">
        <v>65</v>
      </c>
      <c r="I568" s="38"/>
    </row>
    <row r="569" spans="2:9" x14ac:dyDescent="0.2">
      <c r="B569" s="16" t="s">
        <v>622</v>
      </c>
      <c r="C569" s="17" t="s">
        <v>581</v>
      </c>
      <c r="D569" s="70"/>
      <c r="E569" s="62"/>
      <c r="F569" s="62">
        <v>54</v>
      </c>
      <c r="G569" s="63">
        <v>52</v>
      </c>
      <c r="I569" s="38"/>
    </row>
    <row r="570" spans="2:9" x14ac:dyDescent="0.2">
      <c r="B570" s="11" t="s">
        <v>623</v>
      </c>
      <c r="C570" s="12" t="s">
        <v>794</v>
      </c>
      <c r="D570" s="69"/>
      <c r="E570" s="64"/>
      <c r="F570" s="64">
        <v>54</v>
      </c>
      <c r="G570" s="65">
        <v>52</v>
      </c>
      <c r="I570" s="38"/>
    </row>
    <row r="571" spans="2:9" x14ac:dyDescent="0.2">
      <c r="B571" s="16" t="s">
        <v>624</v>
      </c>
      <c r="C571" s="17" t="s">
        <v>795</v>
      </c>
      <c r="D571" s="70"/>
      <c r="E571" s="62"/>
      <c r="F571" s="62">
        <v>55</v>
      </c>
      <c r="G571" s="63">
        <v>53</v>
      </c>
      <c r="I571" s="38"/>
    </row>
    <row r="572" spans="2:9" x14ac:dyDescent="0.2">
      <c r="B572" s="11" t="s">
        <v>625</v>
      </c>
      <c r="C572" s="12" t="s">
        <v>796</v>
      </c>
      <c r="D572" s="69"/>
      <c r="E572" s="64"/>
      <c r="F572" s="64">
        <v>68</v>
      </c>
      <c r="G572" s="65">
        <v>65</v>
      </c>
      <c r="I572" s="38"/>
    </row>
    <row r="573" spans="2:9" x14ac:dyDescent="0.2">
      <c r="B573" s="16" t="s">
        <v>626</v>
      </c>
      <c r="C573" s="17" t="s">
        <v>797</v>
      </c>
      <c r="D573" s="70"/>
      <c r="E573" s="62"/>
      <c r="F573" s="62">
        <v>56</v>
      </c>
      <c r="G573" s="63">
        <v>54</v>
      </c>
      <c r="I573" s="38"/>
    </row>
    <row r="574" spans="2:9" x14ac:dyDescent="0.2">
      <c r="B574" s="11" t="s">
        <v>627</v>
      </c>
      <c r="C574" s="12" t="s">
        <v>798</v>
      </c>
      <c r="D574" s="69"/>
      <c r="E574" s="64"/>
      <c r="F574" s="64">
        <v>57</v>
      </c>
      <c r="G574" s="65">
        <v>55</v>
      </c>
      <c r="I574" s="38"/>
    </row>
    <row r="575" spans="2:9" x14ac:dyDescent="0.2">
      <c r="B575" s="16" t="s">
        <v>582</v>
      </c>
      <c r="C575" s="17" t="s">
        <v>582</v>
      </c>
      <c r="D575" s="70"/>
      <c r="E575" s="62"/>
      <c r="F575" s="62">
        <v>56</v>
      </c>
      <c r="G575" s="63">
        <v>54</v>
      </c>
      <c r="I575" s="38"/>
    </row>
    <row r="576" spans="2:9" x14ac:dyDescent="0.2">
      <c r="B576" s="11" t="s">
        <v>628</v>
      </c>
      <c r="C576" s="12" t="s">
        <v>799</v>
      </c>
      <c r="D576" s="69"/>
      <c r="E576" s="64"/>
      <c r="F576" s="64">
        <v>68</v>
      </c>
      <c r="G576" s="65">
        <v>65</v>
      </c>
      <c r="I576" s="38"/>
    </row>
    <row r="577" spans="2:9" x14ac:dyDescent="0.2">
      <c r="B577" s="16" t="s">
        <v>629</v>
      </c>
      <c r="C577" s="17" t="s">
        <v>800</v>
      </c>
      <c r="D577" s="70"/>
      <c r="E577" s="62"/>
      <c r="F577" s="62">
        <v>68</v>
      </c>
      <c r="G577" s="63">
        <v>65</v>
      </c>
      <c r="I577" s="38"/>
    </row>
    <row r="578" spans="2:9" x14ac:dyDescent="0.2">
      <c r="B578" s="11" t="s">
        <v>630</v>
      </c>
      <c r="C578" s="12" t="s">
        <v>801</v>
      </c>
      <c r="D578" s="69"/>
      <c r="E578" s="64"/>
      <c r="F578" s="64">
        <v>74</v>
      </c>
      <c r="G578" s="65">
        <v>71</v>
      </c>
      <c r="I578" s="38"/>
    </row>
    <row r="579" spans="2:9" x14ac:dyDescent="0.2">
      <c r="B579" s="16" t="s">
        <v>631</v>
      </c>
      <c r="C579" s="17" t="s">
        <v>802</v>
      </c>
      <c r="D579" s="70"/>
      <c r="E579" s="62"/>
      <c r="F579" s="62">
        <v>56</v>
      </c>
      <c r="G579" s="63">
        <v>54</v>
      </c>
      <c r="I579" s="38"/>
    </row>
    <row r="580" spans="2:9" x14ac:dyDescent="0.2">
      <c r="B580" s="11" t="s">
        <v>632</v>
      </c>
      <c r="C580" s="12" t="s">
        <v>803</v>
      </c>
      <c r="D580" s="69"/>
      <c r="E580" s="64"/>
      <c r="F580" s="64">
        <v>58</v>
      </c>
      <c r="G580" s="65">
        <v>56</v>
      </c>
      <c r="I580" s="38"/>
    </row>
    <row r="581" spans="2:9" x14ac:dyDescent="0.2">
      <c r="B581" s="16" t="s">
        <v>633</v>
      </c>
      <c r="C581" s="17" t="s">
        <v>804</v>
      </c>
      <c r="D581" s="70"/>
      <c r="E581" s="62"/>
      <c r="F581" s="62">
        <v>56</v>
      </c>
      <c r="G581" s="63">
        <v>54</v>
      </c>
      <c r="I581" s="38"/>
    </row>
    <row r="582" spans="2:9" x14ac:dyDescent="0.2">
      <c r="B582" s="11" t="s">
        <v>634</v>
      </c>
      <c r="C582" s="12" t="s">
        <v>805</v>
      </c>
      <c r="D582" s="69"/>
      <c r="E582" s="64"/>
      <c r="F582" s="64">
        <v>56</v>
      </c>
      <c r="G582" s="65">
        <v>54</v>
      </c>
      <c r="I582" s="38"/>
    </row>
    <row r="583" spans="2:9" x14ac:dyDescent="0.2">
      <c r="B583" s="16" t="s">
        <v>635</v>
      </c>
      <c r="C583" s="17" t="s">
        <v>806</v>
      </c>
      <c r="D583" s="70"/>
      <c r="E583" s="62"/>
      <c r="F583" s="62">
        <v>68</v>
      </c>
      <c r="G583" s="63">
        <v>65</v>
      </c>
      <c r="I583" s="38"/>
    </row>
    <row r="584" spans="2:9" x14ac:dyDescent="0.2">
      <c r="B584" s="11" t="s">
        <v>636</v>
      </c>
      <c r="C584" s="12" t="s">
        <v>807</v>
      </c>
      <c r="D584" s="69"/>
      <c r="E584" s="64"/>
      <c r="F584" s="64">
        <v>68</v>
      </c>
      <c r="G584" s="65">
        <v>65</v>
      </c>
      <c r="I584" s="38"/>
    </row>
    <row r="585" spans="2:9" x14ac:dyDescent="0.2">
      <c r="B585" s="16" t="s">
        <v>637</v>
      </c>
      <c r="C585" s="17" t="s">
        <v>808</v>
      </c>
      <c r="D585" s="70"/>
      <c r="E585" s="62"/>
      <c r="F585" s="62">
        <v>58</v>
      </c>
      <c r="G585" s="63">
        <v>56</v>
      </c>
      <c r="I585" s="38"/>
    </row>
    <row r="586" spans="2:9" x14ac:dyDescent="0.2">
      <c r="B586" s="11" t="s">
        <v>638</v>
      </c>
      <c r="C586" s="12" t="s">
        <v>809</v>
      </c>
      <c r="D586" s="69"/>
      <c r="E586" s="64"/>
      <c r="F586" s="64">
        <v>56</v>
      </c>
      <c r="G586" s="65">
        <v>54</v>
      </c>
      <c r="I586" s="38"/>
    </row>
    <row r="587" spans="2:9" x14ac:dyDescent="0.2">
      <c r="B587" s="16" t="s">
        <v>639</v>
      </c>
      <c r="C587" s="17" t="s">
        <v>810</v>
      </c>
      <c r="D587" s="70"/>
      <c r="E587" s="62"/>
      <c r="F587" s="62">
        <v>58</v>
      </c>
      <c r="G587" s="63">
        <v>56</v>
      </c>
      <c r="I587" s="38"/>
    </row>
    <row r="588" spans="2:9" x14ac:dyDescent="0.2">
      <c r="B588" s="11" t="s">
        <v>640</v>
      </c>
      <c r="C588" s="12" t="s">
        <v>811</v>
      </c>
      <c r="D588" s="69"/>
      <c r="E588" s="64"/>
      <c r="F588" s="64">
        <v>56</v>
      </c>
      <c r="G588" s="65">
        <v>54</v>
      </c>
      <c r="I588" s="38"/>
    </row>
    <row r="589" spans="2:9" x14ac:dyDescent="0.2">
      <c r="B589" s="16" t="s">
        <v>641</v>
      </c>
      <c r="C589" s="17" t="s">
        <v>812</v>
      </c>
      <c r="D589" s="70"/>
      <c r="E589" s="62"/>
      <c r="F589" s="62">
        <v>58</v>
      </c>
      <c r="G589" s="63">
        <v>56</v>
      </c>
      <c r="I589" s="38"/>
    </row>
    <row r="590" spans="2:9" x14ac:dyDescent="0.2">
      <c r="B590" s="11" t="s">
        <v>642</v>
      </c>
      <c r="C590" s="12" t="s">
        <v>813</v>
      </c>
      <c r="D590" s="69"/>
      <c r="E590" s="64"/>
      <c r="F590" s="64">
        <v>56</v>
      </c>
      <c r="G590" s="65">
        <v>54</v>
      </c>
      <c r="I590" s="38"/>
    </row>
    <row r="591" spans="2:9" x14ac:dyDescent="0.2">
      <c r="B591" s="16" t="s">
        <v>643</v>
      </c>
      <c r="C591" s="17" t="s">
        <v>814</v>
      </c>
      <c r="D591" s="70"/>
      <c r="E591" s="62"/>
      <c r="F591" s="62">
        <v>54</v>
      </c>
      <c r="G591" s="63">
        <v>52</v>
      </c>
      <c r="I591" s="38"/>
    </row>
    <row r="592" spans="2:9" x14ac:dyDescent="0.2">
      <c r="B592" s="11" t="s">
        <v>583</v>
      </c>
      <c r="C592" s="12" t="s">
        <v>583</v>
      </c>
      <c r="D592" s="69"/>
      <c r="E592" s="64"/>
      <c r="F592" s="64">
        <v>56</v>
      </c>
      <c r="G592" s="65">
        <v>54</v>
      </c>
      <c r="I592" s="38"/>
    </row>
    <row r="593" spans="2:9" x14ac:dyDescent="0.2">
      <c r="B593" s="16" t="s">
        <v>644</v>
      </c>
      <c r="C593" s="17" t="s">
        <v>815</v>
      </c>
      <c r="D593" s="70"/>
      <c r="E593" s="62"/>
      <c r="F593" s="62">
        <v>68</v>
      </c>
      <c r="G593" s="63">
        <v>65</v>
      </c>
      <c r="I593" s="38"/>
    </row>
    <row r="594" spans="2:9" x14ac:dyDescent="0.2">
      <c r="B594" s="11" t="s">
        <v>645</v>
      </c>
      <c r="C594" s="12" t="s">
        <v>816</v>
      </c>
      <c r="D594" s="69"/>
      <c r="E594" s="64"/>
      <c r="F594" s="64">
        <v>68</v>
      </c>
      <c r="G594" s="65">
        <v>65</v>
      </c>
      <c r="I594" s="38"/>
    </row>
    <row r="595" spans="2:9" x14ac:dyDescent="0.2">
      <c r="B595" s="16" t="s">
        <v>646</v>
      </c>
      <c r="C595" s="17" t="s">
        <v>817</v>
      </c>
      <c r="D595" s="70"/>
      <c r="E595" s="62"/>
      <c r="F595" s="62">
        <v>56</v>
      </c>
      <c r="G595" s="63">
        <v>54</v>
      </c>
      <c r="I595" s="38"/>
    </row>
    <row r="596" spans="2:9" x14ac:dyDescent="0.2">
      <c r="B596" s="11" t="s">
        <v>647</v>
      </c>
      <c r="C596" s="12" t="s">
        <v>818</v>
      </c>
      <c r="D596" s="69"/>
      <c r="E596" s="64"/>
      <c r="F596" s="64">
        <v>68</v>
      </c>
      <c r="G596" s="65">
        <v>65</v>
      </c>
      <c r="I596" s="38"/>
    </row>
    <row r="597" spans="2:9" x14ac:dyDescent="0.2">
      <c r="B597" s="16" t="s">
        <v>648</v>
      </c>
      <c r="C597" s="17" t="s">
        <v>584</v>
      </c>
      <c r="D597" s="70"/>
      <c r="E597" s="62"/>
      <c r="F597" s="62">
        <v>58</v>
      </c>
      <c r="G597" s="63">
        <v>56</v>
      </c>
      <c r="I597" s="38"/>
    </row>
    <row r="598" spans="2:9" x14ac:dyDescent="0.2">
      <c r="B598" s="11" t="s">
        <v>649</v>
      </c>
      <c r="C598" s="12" t="s">
        <v>819</v>
      </c>
      <c r="D598" s="69"/>
      <c r="E598" s="64"/>
      <c r="F598" s="64">
        <v>58</v>
      </c>
      <c r="G598" s="65">
        <v>56</v>
      </c>
      <c r="I598" s="38"/>
    </row>
    <row r="599" spans="2:9" x14ac:dyDescent="0.2">
      <c r="B599" s="16" t="s">
        <v>650</v>
      </c>
      <c r="C599" s="17" t="s">
        <v>820</v>
      </c>
      <c r="D599" s="70"/>
      <c r="E599" s="62"/>
      <c r="F599" s="62">
        <v>56</v>
      </c>
      <c r="G599" s="63">
        <v>54</v>
      </c>
      <c r="I599" s="38"/>
    </row>
    <row r="600" spans="2:9" x14ac:dyDescent="0.2">
      <c r="B600" s="11" t="s">
        <v>651</v>
      </c>
      <c r="C600" s="12" t="s">
        <v>821</v>
      </c>
      <c r="D600" s="69"/>
      <c r="E600" s="64"/>
      <c r="F600" s="64">
        <v>56</v>
      </c>
      <c r="G600" s="65">
        <v>54</v>
      </c>
      <c r="I600" s="38"/>
    </row>
    <row r="601" spans="2:9" x14ac:dyDescent="0.2">
      <c r="B601" s="16" t="s">
        <v>652</v>
      </c>
      <c r="C601" s="17" t="s">
        <v>822</v>
      </c>
      <c r="D601" s="70"/>
      <c r="E601" s="62"/>
      <c r="F601" s="62">
        <v>68</v>
      </c>
      <c r="G601" s="63">
        <v>65</v>
      </c>
      <c r="I601" s="38"/>
    </row>
    <row r="602" spans="2:9" x14ac:dyDescent="0.2">
      <c r="B602" s="11" t="s">
        <v>653</v>
      </c>
      <c r="C602" s="12" t="s">
        <v>823</v>
      </c>
      <c r="D602" s="69"/>
      <c r="E602" s="64"/>
      <c r="F602" s="64">
        <v>58</v>
      </c>
      <c r="G602" s="65">
        <v>56</v>
      </c>
      <c r="I602" s="38"/>
    </row>
    <row r="603" spans="2:9" x14ac:dyDescent="0.2">
      <c r="B603" s="16" t="s">
        <v>654</v>
      </c>
      <c r="C603" s="17" t="s">
        <v>824</v>
      </c>
      <c r="D603" s="70"/>
      <c r="E603" s="62"/>
      <c r="F603" s="62">
        <v>68</v>
      </c>
      <c r="G603" s="63">
        <v>65</v>
      </c>
      <c r="I603" s="38"/>
    </row>
    <row r="604" spans="2:9" x14ac:dyDescent="0.2">
      <c r="B604" s="11" t="s">
        <v>655</v>
      </c>
      <c r="C604" s="12" t="s">
        <v>825</v>
      </c>
      <c r="D604" s="69"/>
      <c r="E604" s="64"/>
      <c r="F604" s="64">
        <v>54</v>
      </c>
      <c r="G604" s="65">
        <v>52</v>
      </c>
      <c r="I604" s="38"/>
    </row>
    <row r="605" spans="2:9" x14ac:dyDescent="0.2">
      <c r="B605" s="16" t="s">
        <v>656</v>
      </c>
      <c r="C605" s="17" t="s">
        <v>826</v>
      </c>
      <c r="D605" s="70"/>
      <c r="E605" s="62"/>
      <c r="F605" s="62">
        <v>56</v>
      </c>
      <c r="G605" s="63">
        <v>54</v>
      </c>
      <c r="I605" s="38"/>
    </row>
    <row r="606" spans="2:9" x14ac:dyDescent="0.2">
      <c r="B606" s="11" t="s">
        <v>657</v>
      </c>
      <c r="C606" s="12" t="s">
        <v>827</v>
      </c>
      <c r="D606" s="69"/>
      <c r="E606" s="64"/>
      <c r="F606" s="64">
        <v>56</v>
      </c>
      <c r="G606" s="65">
        <v>54</v>
      </c>
      <c r="I606" s="38"/>
    </row>
    <row r="607" spans="2:9" x14ac:dyDescent="0.2">
      <c r="B607" s="16" t="s">
        <v>658</v>
      </c>
      <c r="C607" s="17" t="s">
        <v>828</v>
      </c>
      <c r="D607" s="70"/>
      <c r="E607" s="62"/>
      <c r="F607" s="62">
        <v>68</v>
      </c>
      <c r="G607" s="63">
        <v>65</v>
      </c>
      <c r="I607" s="38"/>
    </row>
    <row r="608" spans="2:9" x14ac:dyDescent="0.2">
      <c r="B608" s="11" t="s">
        <v>659</v>
      </c>
      <c r="C608" s="12" t="s">
        <v>829</v>
      </c>
      <c r="D608" s="69"/>
      <c r="E608" s="64"/>
      <c r="F608" s="64">
        <v>72</v>
      </c>
      <c r="G608" s="65">
        <v>69</v>
      </c>
      <c r="I608" s="38"/>
    </row>
    <row r="609" spans="2:9" x14ac:dyDescent="0.2">
      <c r="B609" s="16" t="s">
        <v>660</v>
      </c>
      <c r="C609" s="17" t="s">
        <v>830</v>
      </c>
      <c r="D609" s="70"/>
      <c r="E609" s="62"/>
      <c r="F609" s="62">
        <v>68</v>
      </c>
      <c r="G609" s="63">
        <v>65</v>
      </c>
      <c r="I609" s="38"/>
    </row>
    <row r="610" spans="2:9" x14ac:dyDescent="0.2">
      <c r="B610" s="11" t="s">
        <v>661</v>
      </c>
      <c r="C610" s="12" t="s">
        <v>831</v>
      </c>
      <c r="D610" s="69"/>
      <c r="E610" s="64"/>
      <c r="F610" s="64">
        <v>58</v>
      </c>
      <c r="G610" s="65">
        <v>56</v>
      </c>
      <c r="I610" s="38"/>
    </row>
    <row r="611" spans="2:9" x14ac:dyDescent="0.2">
      <c r="B611" s="16" t="s">
        <v>662</v>
      </c>
      <c r="C611" s="17" t="s">
        <v>832</v>
      </c>
      <c r="D611" s="70"/>
      <c r="E611" s="62"/>
      <c r="F611" s="62">
        <v>56</v>
      </c>
      <c r="G611" s="63">
        <v>54</v>
      </c>
      <c r="I611" s="38"/>
    </row>
    <row r="612" spans="2:9" x14ac:dyDescent="0.2">
      <c r="B612" s="11" t="s">
        <v>663</v>
      </c>
      <c r="C612" s="12" t="s">
        <v>833</v>
      </c>
      <c r="D612" s="69"/>
      <c r="E612" s="64"/>
      <c r="F612" s="64">
        <v>58</v>
      </c>
      <c r="G612" s="65">
        <v>56</v>
      </c>
      <c r="I612" s="38"/>
    </row>
    <row r="613" spans="2:9" x14ac:dyDescent="0.2">
      <c r="B613" s="16" t="s">
        <v>664</v>
      </c>
      <c r="C613" s="17" t="s">
        <v>834</v>
      </c>
      <c r="D613" s="70"/>
      <c r="E613" s="62"/>
      <c r="F613" s="62">
        <v>56</v>
      </c>
      <c r="G613" s="63">
        <v>54</v>
      </c>
      <c r="I613" s="38"/>
    </row>
    <row r="614" spans="2:9" x14ac:dyDescent="0.2">
      <c r="B614" s="11" t="s">
        <v>665</v>
      </c>
      <c r="C614" s="12" t="s">
        <v>835</v>
      </c>
      <c r="D614" s="69"/>
      <c r="E614" s="64"/>
      <c r="F614" s="64">
        <v>72</v>
      </c>
      <c r="G614" s="65">
        <v>69</v>
      </c>
      <c r="I614" s="38"/>
    </row>
    <row r="615" spans="2:9" x14ac:dyDescent="0.2">
      <c r="B615" s="16" t="s">
        <v>666</v>
      </c>
      <c r="C615" s="17" t="s">
        <v>836</v>
      </c>
      <c r="D615" s="70"/>
      <c r="E615" s="62"/>
      <c r="F615" s="62">
        <v>68</v>
      </c>
      <c r="G615" s="63">
        <v>65</v>
      </c>
      <c r="I615" s="38"/>
    </row>
    <row r="616" spans="2:9" x14ac:dyDescent="0.2">
      <c r="B616" s="11" t="s">
        <v>667</v>
      </c>
      <c r="C616" s="12" t="s">
        <v>837</v>
      </c>
      <c r="D616" s="69"/>
      <c r="E616" s="64"/>
      <c r="F616" s="64">
        <v>68</v>
      </c>
      <c r="G616" s="65">
        <v>65</v>
      </c>
      <c r="I616" s="38"/>
    </row>
    <row r="617" spans="2:9" x14ac:dyDescent="0.2">
      <c r="B617" s="16" t="s">
        <v>668</v>
      </c>
      <c r="C617" s="17" t="s">
        <v>838</v>
      </c>
      <c r="D617" s="70"/>
      <c r="E617" s="62"/>
      <c r="F617" s="62">
        <v>68</v>
      </c>
      <c r="G617" s="63">
        <v>65</v>
      </c>
      <c r="I617" s="38"/>
    </row>
    <row r="618" spans="2:9" x14ac:dyDescent="0.2">
      <c r="B618" s="11" t="s">
        <v>585</v>
      </c>
      <c r="C618" s="12" t="s">
        <v>585</v>
      </c>
      <c r="D618" s="69"/>
      <c r="E618" s="64"/>
      <c r="F618" s="64">
        <v>68</v>
      </c>
      <c r="G618" s="65">
        <v>65</v>
      </c>
      <c r="I618" s="38"/>
    </row>
    <row r="619" spans="2:9" x14ac:dyDescent="0.2">
      <c r="B619" s="16" t="s">
        <v>669</v>
      </c>
      <c r="C619" s="17" t="s">
        <v>839</v>
      </c>
      <c r="D619" s="70"/>
      <c r="E619" s="62"/>
      <c r="F619" s="62">
        <v>61</v>
      </c>
      <c r="G619" s="63">
        <v>59</v>
      </c>
      <c r="I619" s="38"/>
    </row>
    <row r="620" spans="2:9" x14ac:dyDescent="0.2">
      <c r="B620" s="11" t="s">
        <v>670</v>
      </c>
      <c r="C620" s="12" t="s">
        <v>840</v>
      </c>
      <c r="D620" s="69"/>
      <c r="E620" s="64"/>
      <c r="F620" s="64">
        <v>68</v>
      </c>
      <c r="G620" s="65">
        <v>65</v>
      </c>
      <c r="I620" s="38"/>
    </row>
    <row r="621" spans="2:9" x14ac:dyDescent="0.2">
      <c r="B621" s="16" t="s">
        <v>671</v>
      </c>
      <c r="C621" s="17" t="s">
        <v>841</v>
      </c>
      <c r="D621" s="70"/>
      <c r="E621" s="62"/>
      <c r="F621" s="62">
        <v>68</v>
      </c>
      <c r="G621" s="63">
        <v>65</v>
      </c>
      <c r="I621" s="38"/>
    </row>
    <row r="622" spans="2:9" x14ac:dyDescent="0.2">
      <c r="B622" s="11" t="s">
        <v>672</v>
      </c>
      <c r="C622" s="12" t="s">
        <v>842</v>
      </c>
      <c r="D622" s="69"/>
      <c r="E622" s="64"/>
      <c r="F622" s="64">
        <v>74</v>
      </c>
      <c r="G622" s="65">
        <v>71</v>
      </c>
      <c r="I622" s="38"/>
    </row>
    <row r="623" spans="2:9" x14ac:dyDescent="0.2">
      <c r="B623" s="16" t="s">
        <v>673</v>
      </c>
      <c r="C623" s="17" t="s">
        <v>843</v>
      </c>
      <c r="D623" s="70"/>
      <c r="E623" s="62"/>
      <c r="F623" s="62">
        <v>74</v>
      </c>
      <c r="G623" s="63">
        <v>71</v>
      </c>
      <c r="I623" s="38"/>
    </row>
    <row r="624" spans="2:9" x14ac:dyDescent="0.2">
      <c r="B624" s="11" t="s">
        <v>674</v>
      </c>
      <c r="C624" s="12" t="s">
        <v>844</v>
      </c>
      <c r="D624" s="69"/>
      <c r="E624" s="64"/>
      <c r="F624" s="64">
        <v>61</v>
      </c>
      <c r="G624" s="65">
        <v>59</v>
      </c>
      <c r="I624" s="38"/>
    </row>
    <row r="625" spans="2:9" x14ac:dyDescent="0.2">
      <c r="B625" s="16" t="s">
        <v>675</v>
      </c>
      <c r="C625" s="17" t="s">
        <v>845</v>
      </c>
      <c r="D625" s="70"/>
      <c r="E625" s="62"/>
      <c r="F625" s="62">
        <v>78</v>
      </c>
      <c r="G625" s="63">
        <v>75</v>
      </c>
      <c r="I625" s="38"/>
    </row>
    <row r="626" spans="2:9" x14ac:dyDescent="0.2">
      <c r="B626" s="11" t="s">
        <v>586</v>
      </c>
      <c r="C626" s="12" t="s">
        <v>586</v>
      </c>
      <c r="D626" s="69"/>
      <c r="E626" s="64"/>
      <c r="F626" s="64">
        <v>74</v>
      </c>
      <c r="G626" s="65">
        <v>71</v>
      </c>
      <c r="I626" s="38"/>
    </row>
    <row r="627" spans="2:9" x14ac:dyDescent="0.2">
      <c r="B627" s="16" t="s">
        <v>676</v>
      </c>
      <c r="C627" s="17" t="s">
        <v>846</v>
      </c>
      <c r="D627" s="70"/>
      <c r="E627" s="62"/>
      <c r="F627" s="62">
        <v>68</v>
      </c>
      <c r="G627" s="63">
        <v>65</v>
      </c>
      <c r="I627" s="38"/>
    </row>
    <row r="628" spans="2:9" x14ac:dyDescent="0.2">
      <c r="B628" s="11" t="s">
        <v>587</v>
      </c>
      <c r="C628" s="12" t="s">
        <v>587</v>
      </c>
      <c r="D628" s="69"/>
      <c r="E628" s="64"/>
      <c r="F628" s="64">
        <v>68</v>
      </c>
      <c r="G628" s="65">
        <v>65</v>
      </c>
      <c r="I628" s="38"/>
    </row>
    <row r="629" spans="2:9" x14ac:dyDescent="0.2">
      <c r="B629" s="16" t="s">
        <v>588</v>
      </c>
      <c r="C629" s="17" t="s">
        <v>588</v>
      </c>
      <c r="D629" s="70"/>
      <c r="E629" s="62"/>
      <c r="F629" s="62">
        <v>68</v>
      </c>
      <c r="G629" s="63">
        <v>65</v>
      </c>
      <c r="I629" s="38"/>
    </row>
    <row r="630" spans="2:9" x14ac:dyDescent="0.2">
      <c r="B630" s="11" t="s">
        <v>677</v>
      </c>
      <c r="C630" s="12" t="s">
        <v>847</v>
      </c>
      <c r="D630" s="69"/>
      <c r="E630" s="64"/>
      <c r="F630" s="64">
        <v>68</v>
      </c>
      <c r="G630" s="65">
        <v>65</v>
      </c>
      <c r="I630" s="38"/>
    </row>
    <row r="631" spans="2:9" x14ac:dyDescent="0.2">
      <c r="B631" s="16" t="s">
        <v>678</v>
      </c>
      <c r="C631" s="17" t="s">
        <v>848</v>
      </c>
      <c r="D631" s="70"/>
      <c r="E631" s="62"/>
      <c r="F631" s="62">
        <v>61</v>
      </c>
      <c r="G631" s="63">
        <v>59</v>
      </c>
      <c r="I631" s="38"/>
    </row>
    <row r="632" spans="2:9" x14ac:dyDescent="0.2">
      <c r="B632" s="11" t="s">
        <v>679</v>
      </c>
      <c r="C632" s="12" t="s">
        <v>849</v>
      </c>
      <c r="D632" s="69"/>
      <c r="E632" s="64"/>
      <c r="F632" s="64">
        <v>68</v>
      </c>
      <c r="G632" s="65">
        <v>65</v>
      </c>
      <c r="I632" s="38"/>
    </row>
    <row r="633" spans="2:9" x14ac:dyDescent="0.2">
      <c r="B633" s="16" t="s">
        <v>680</v>
      </c>
      <c r="C633" s="17" t="s">
        <v>850</v>
      </c>
      <c r="D633" s="70"/>
      <c r="E633" s="62"/>
      <c r="F633" s="62">
        <v>68</v>
      </c>
      <c r="G633" s="63">
        <v>65</v>
      </c>
      <c r="I633" s="38"/>
    </row>
    <row r="634" spans="2:9" x14ac:dyDescent="0.2">
      <c r="B634" s="11" t="s">
        <v>681</v>
      </c>
      <c r="C634" s="12" t="s">
        <v>851</v>
      </c>
      <c r="D634" s="69"/>
      <c r="E634" s="64"/>
      <c r="F634" s="64">
        <v>72</v>
      </c>
      <c r="G634" s="65">
        <v>69</v>
      </c>
      <c r="I634" s="38"/>
    </row>
    <row r="635" spans="2:9" x14ac:dyDescent="0.2">
      <c r="B635" s="16" t="s">
        <v>682</v>
      </c>
      <c r="C635" s="17" t="s">
        <v>589</v>
      </c>
      <c r="D635" s="70"/>
      <c r="E635" s="62"/>
      <c r="F635" s="62">
        <v>57</v>
      </c>
      <c r="G635" s="63">
        <v>55</v>
      </c>
      <c r="I635" s="38"/>
    </row>
    <row r="636" spans="2:9" x14ac:dyDescent="0.2">
      <c r="B636" s="11" t="s">
        <v>683</v>
      </c>
      <c r="C636" s="12" t="s">
        <v>852</v>
      </c>
      <c r="D636" s="69"/>
      <c r="E636" s="64"/>
      <c r="F636" s="64">
        <v>72</v>
      </c>
      <c r="G636" s="65">
        <v>69</v>
      </c>
      <c r="I636" s="38"/>
    </row>
    <row r="637" spans="2:9" x14ac:dyDescent="0.2">
      <c r="B637" s="16" t="s">
        <v>590</v>
      </c>
      <c r="C637" s="17" t="s">
        <v>590</v>
      </c>
      <c r="D637" s="70"/>
      <c r="E637" s="62"/>
      <c r="F637" s="62">
        <v>68</v>
      </c>
      <c r="G637" s="63">
        <v>65</v>
      </c>
      <c r="I637" s="38"/>
    </row>
    <row r="638" spans="2:9" x14ac:dyDescent="0.2">
      <c r="B638" s="11" t="s">
        <v>684</v>
      </c>
      <c r="C638" s="12" t="s">
        <v>853</v>
      </c>
      <c r="D638" s="69"/>
      <c r="E638" s="64"/>
      <c r="F638" s="64">
        <v>68</v>
      </c>
      <c r="G638" s="65">
        <v>65</v>
      </c>
      <c r="I638" s="38"/>
    </row>
    <row r="639" spans="2:9" x14ac:dyDescent="0.2">
      <c r="B639" s="16" t="s">
        <v>591</v>
      </c>
      <c r="C639" s="17" t="s">
        <v>591</v>
      </c>
      <c r="D639" s="70"/>
      <c r="E639" s="62"/>
      <c r="F639" s="62">
        <v>66</v>
      </c>
      <c r="G639" s="63">
        <v>63</v>
      </c>
      <c r="I639" s="38"/>
    </row>
    <row r="640" spans="2:9" x14ac:dyDescent="0.2">
      <c r="B640" s="11" t="s">
        <v>685</v>
      </c>
      <c r="C640" s="12" t="s">
        <v>854</v>
      </c>
      <c r="D640" s="69"/>
      <c r="E640" s="64"/>
      <c r="F640" s="64">
        <v>68</v>
      </c>
      <c r="G640" s="65">
        <v>65</v>
      </c>
      <c r="I640" s="38"/>
    </row>
    <row r="641" spans="2:9" x14ac:dyDescent="0.2">
      <c r="B641" s="16" t="s">
        <v>686</v>
      </c>
      <c r="C641" s="17" t="s">
        <v>855</v>
      </c>
      <c r="D641" s="70"/>
      <c r="E641" s="62"/>
      <c r="F641" s="62">
        <v>68</v>
      </c>
      <c r="G641" s="63">
        <v>65</v>
      </c>
      <c r="I641" s="38"/>
    </row>
    <row r="642" spans="2:9" x14ac:dyDescent="0.2">
      <c r="B642" s="11" t="s">
        <v>592</v>
      </c>
      <c r="C642" s="12" t="s">
        <v>592</v>
      </c>
      <c r="D642" s="69"/>
      <c r="E642" s="64"/>
      <c r="F642" s="64">
        <v>56</v>
      </c>
      <c r="G642" s="65">
        <v>54</v>
      </c>
      <c r="I642" s="38"/>
    </row>
    <row r="643" spans="2:9" x14ac:dyDescent="0.2">
      <c r="B643" s="16" t="s">
        <v>593</v>
      </c>
      <c r="C643" s="17" t="s">
        <v>593</v>
      </c>
      <c r="D643" s="70"/>
      <c r="E643" s="62"/>
      <c r="F643" s="62">
        <v>68</v>
      </c>
      <c r="G643" s="63">
        <v>65</v>
      </c>
      <c r="I643" s="38"/>
    </row>
    <row r="644" spans="2:9" x14ac:dyDescent="0.2">
      <c r="B644" s="11" t="s">
        <v>687</v>
      </c>
      <c r="C644" s="12" t="s">
        <v>856</v>
      </c>
      <c r="D644" s="69"/>
      <c r="E644" s="64"/>
      <c r="F644" s="64">
        <v>46</v>
      </c>
      <c r="G644" s="65">
        <v>44</v>
      </c>
      <c r="I644" s="38"/>
    </row>
    <row r="645" spans="2:9" x14ac:dyDescent="0.2">
      <c r="B645" s="16" t="s">
        <v>594</v>
      </c>
      <c r="C645" s="17" t="s">
        <v>594</v>
      </c>
      <c r="D645" s="70"/>
      <c r="E645" s="62"/>
      <c r="F645" s="62">
        <v>60</v>
      </c>
      <c r="G645" s="63">
        <v>58</v>
      </c>
      <c r="I645" s="38"/>
    </row>
    <row r="646" spans="2:9" x14ac:dyDescent="0.2">
      <c r="B646" s="11" t="s">
        <v>595</v>
      </c>
      <c r="C646" s="12" t="s">
        <v>595</v>
      </c>
      <c r="D646" s="69"/>
      <c r="E646" s="64"/>
      <c r="F646" s="64">
        <v>54</v>
      </c>
      <c r="G646" s="65">
        <v>52</v>
      </c>
      <c r="I646" s="38"/>
    </row>
    <row r="647" spans="2:9" x14ac:dyDescent="0.2">
      <c r="B647" s="16" t="s">
        <v>688</v>
      </c>
      <c r="C647" s="17" t="s">
        <v>857</v>
      </c>
      <c r="D647" s="70"/>
      <c r="E647" s="62"/>
      <c r="F647" s="62">
        <v>46</v>
      </c>
      <c r="G647" s="63">
        <v>44</v>
      </c>
      <c r="I647" s="38"/>
    </row>
    <row r="648" spans="2:9" x14ac:dyDescent="0.2">
      <c r="B648" s="11" t="s">
        <v>689</v>
      </c>
      <c r="C648" s="12" t="s">
        <v>858</v>
      </c>
      <c r="D648" s="69"/>
      <c r="E648" s="64"/>
      <c r="F648" s="64">
        <v>72</v>
      </c>
      <c r="G648" s="65">
        <v>69</v>
      </c>
      <c r="I648" s="38"/>
    </row>
    <row r="649" spans="2:9" x14ac:dyDescent="0.2">
      <c r="B649" s="16" t="s">
        <v>690</v>
      </c>
      <c r="C649" s="17" t="s">
        <v>859</v>
      </c>
      <c r="D649" s="70"/>
      <c r="E649" s="62"/>
      <c r="F649" s="62">
        <v>68</v>
      </c>
      <c r="G649" s="63">
        <v>65</v>
      </c>
      <c r="I649" s="38"/>
    </row>
    <row r="650" spans="2:9" x14ac:dyDescent="0.2">
      <c r="B650" s="11" t="s">
        <v>691</v>
      </c>
      <c r="C650" s="12" t="s">
        <v>860</v>
      </c>
      <c r="D650" s="69"/>
      <c r="E650" s="64"/>
      <c r="F650" s="64">
        <v>61</v>
      </c>
      <c r="G650" s="65">
        <v>59</v>
      </c>
      <c r="I650" s="38"/>
    </row>
    <row r="651" spans="2:9" x14ac:dyDescent="0.2">
      <c r="B651" s="16" t="s">
        <v>692</v>
      </c>
      <c r="C651" s="17" t="s">
        <v>861</v>
      </c>
      <c r="D651" s="70"/>
      <c r="E651" s="62"/>
      <c r="F651" s="62">
        <v>68</v>
      </c>
      <c r="G651" s="63">
        <v>65</v>
      </c>
      <c r="I651" s="38"/>
    </row>
    <row r="652" spans="2:9" x14ac:dyDescent="0.2">
      <c r="B652" s="11" t="s">
        <v>596</v>
      </c>
      <c r="C652" s="12" t="s">
        <v>596</v>
      </c>
      <c r="D652" s="69"/>
      <c r="E652" s="64"/>
      <c r="F652" s="64">
        <v>58</v>
      </c>
      <c r="G652" s="65">
        <v>56</v>
      </c>
      <c r="I652" s="38"/>
    </row>
    <row r="653" spans="2:9" x14ac:dyDescent="0.2">
      <c r="B653" s="16" t="s">
        <v>693</v>
      </c>
      <c r="C653" s="17" t="s">
        <v>862</v>
      </c>
      <c r="D653" s="70"/>
      <c r="E653" s="62"/>
      <c r="F653" s="62">
        <v>68</v>
      </c>
      <c r="G653" s="63">
        <v>65</v>
      </c>
      <c r="I653" s="38"/>
    </row>
    <row r="654" spans="2:9" x14ac:dyDescent="0.2">
      <c r="B654" s="11" t="s">
        <v>694</v>
      </c>
      <c r="C654" s="12" t="s">
        <v>863</v>
      </c>
      <c r="D654" s="69"/>
      <c r="E654" s="64"/>
      <c r="F654" s="64">
        <v>58</v>
      </c>
      <c r="G654" s="65">
        <v>56</v>
      </c>
      <c r="I654" s="38"/>
    </row>
    <row r="655" spans="2:9" x14ac:dyDescent="0.2">
      <c r="B655" s="16" t="s">
        <v>695</v>
      </c>
      <c r="C655" s="17" t="s">
        <v>864</v>
      </c>
      <c r="D655" s="70"/>
      <c r="E655" s="62"/>
      <c r="F655" s="62">
        <v>68</v>
      </c>
      <c r="G655" s="63">
        <v>65</v>
      </c>
      <c r="I655" s="38"/>
    </row>
    <row r="656" spans="2:9" x14ac:dyDescent="0.2">
      <c r="B656" s="11" t="s">
        <v>696</v>
      </c>
      <c r="C656" s="12" t="s">
        <v>865</v>
      </c>
      <c r="D656" s="69"/>
      <c r="E656" s="64"/>
      <c r="F656" s="64">
        <v>71</v>
      </c>
      <c r="G656" s="65">
        <v>68</v>
      </c>
      <c r="I656" s="38"/>
    </row>
    <row r="657" spans="2:9" x14ac:dyDescent="0.2">
      <c r="B657" s="16" t="s">
        <v>697</v>
      </c>
      <c r="C657" s="17" t="s">
        <v>866</v>
      </c>
      <c r="D657" s="70"/>
      <c r="E657" s="62"/>
      <c r="F657" s="62">
        <v>68</v>
      </c>
      <c r="G657" s="63">
        <v>65</v>
      </c>
      <c r="I657" s="38"/>
    </row>
    <row r="658" spans="2:9" x14ac:dyDescent="0.2">
      <c r="B658" s="11" t="s">
        <v>597</v>
      </c>
      <c r="C658" s="12" t="s">
        <v>597</v>
      </c>
      <c r="D658" s="69"/>
      <c r="E658" s="64"/>
      <c r="F658" s="64">
        <v>56</v>
      </c>
      <c r="G658" s="65">
        <v>54</v>
      </c>
      <c r="I658" s="38"/>
    </row>
    <row r="659" spans="2:9" x14ac:dyDescent="0.2">
      <c r="B659" s="16" t="s">
        <v>598</v>
      </c>
      <c r="C659" s="17" t="s">
        <v>598</v>
      </c>
      <c r="D659" s="70"/>
      <c r="E659" s="62"/>
      <c r="F659" s="62">
        <v>68</v>
      </c>
      <c r="G659" s="63">
        <v>65</v>
      </c>
      <c r="I659" s="38"/>
    </row>
    <row r="660" spans="2:9" x14ac:dyDescent="0.2">
      <c r="B660" s="11" t="s">
        <v>698</v>
      </c>
      <c r="C660" s="12" t="s">
        <v>867</v>
      </c>
      <c r="D660" s="69"/>
      <c r="E660" s="64"/>
      <c r="F660" s="64">
        <v>68</v>
      </c>
      <c r="G660" s="65">
        <v>65</v>
      </c>
      <c r="I660" s="38"/>
    </row>
    <row r="661" spans="2:9" x14ac:dyDescent="0.2">
      <c r="B661" s="16" t="s">
        <v>699</v>
      </c>
      <c r="C661" s="17" t="s">
        <v>868</v>
      </c>
      <c r="D661" s="70"/>
      <c r="E661" s="62"/>
      <c r="F661" s="62">
        <v>58</v>
      </c>
      <c r="G661" s="63">
        <v>56</v>
      </c>
      <c r="I661" s="38"/>
    </row>
    <row r="662" spans="2:9" x14ac:dyDescent="0.2">
      <c r="B662" s="11" t="s">
        <v>700</v>
      </c>
      <c r="C662" s="12" t="s">
        <v>869</v>
      </c>
      <c r="D662" s="69"/>
      <c r="E662" s="64"/>
      <c r="F662" s="64">
        <v>68</v>
      </c>
      <c r="G662" s="65">
        <v>65</v>
      </c>
      <c r="I662" s="38"/>
    </row>
    <row r="663" spans="2:9" x14ac:dyDescent="0.2">
      <c r="B663" s="16" t="s">
        <v>701</v>
      </c>
      <c r="C663" s="17" t="s">
        <v>870</v>
      </c>
      <c r="D663" s="70"/>
      <c r="E663" s="62"/>
      <c r="F663" s="62">
        <v>68</v>
      </c>
      <c r="G663" s="63">
        <v>65</v>
      </c>
      <c r="I663" s="38"/>
    </row>
    <row r="664" spans="2:9" x14ac:dyDescent="0.2">
      <c r="B664" s="11" t="s">
        <v>702</v>
      </c>
      <c r="C664" s="12" t="s">
        <v>599</v>
      </c>
      <c r="D664" s="69"/>
      <c r="E664" s="64"/>
      <c r="F664" s="64">
        <v>48</v>
      </c>
      <c r="G664" s="65">
        <v>46</v>
      </c>
      <c r="I664" s="38"/>
    </row>
    <row r="665" spans="2:9" x14ac:dyDescent="0.2">
      <c r="B665" s="16" t="s">
        <v>703</v>
      </c>
      <c r="C665" s="17" t="s">
        <v>871</v>
      </c>
      <c r="D665" s="70"/>
      <c r="E665" s="62"/>
      <c r="F665" s="62">
        <v>95</v>
      </c>
      <c r="G665" s="63">
        <v>91</v>
      </c>
      <c r="I665" s="38"/>
    </row>
    <row r="666" spans="2:9" x14ac:dyDescent="0.2">
      <c r="B666" s="11" t="s">
        <v>704</v>
      </c>
      <c r="C666" s="12" t="s">
        <v>872</v>
      </c>
      <c r="D666" s="69"/>
      <c r="E666" s="64"/>
      <c r="F666" s="64">
        <v>58</v>
      </c>
      <c r="G666" s="65">
        <v>56</v>
      </c>
      <c r="I666" s="38"/>
    </row>
    <row r="667" spans="2:9" x14ac:dyDescent="0.2">
      <c r="B667" s="16" t="s">
        <v>705</v>
      </c>
      <c r="C667" s="17" t="s">
        <v>600</v>
      </c>
      <c r="D667" s="70"/>
      <c r="E667" s="62"/>
      <c r="F667" s="62">
        <v>54</v>
      </c>
      <c r="G667" s="63">
        <v>52</v>
      </c>
      <c r="I667" s="38"/>
    </row>
    <row r="668" spans="2:9" x14ac:dyDescent="0.2">
      <c r="B668" s="11" t="s">
        <v>601</v>
      </c>
      <c r="C668" s="12" t="s">
        <v>601</v>
      </c>
      <c r="D668" s="69"/>
      <c r="E668" s="64"/>
      <c r="F668" s="64"/>
      <c r="G668" s="65"/>
      <c r="I668" s="38"/>
    </row>
    <row r="669" spans="2:9" x14ac:dyDescent="0.2">
      <c r="B669" s="16" t="s">
        <v>706</v>
      </c>
      <c r="C669" s="17" t="s">
        <v>873</v>
      </c>
      <c r="D669" s="70"/>
      <c r="E669" s="62"/>
      <c r="F669" s="62">
        <v>50</v>
      </c>
      <c r="G669" s="63">
        <v>48</v>
      </c>
      <c r="I669" s="38"/>
    </row>
    <row r="670" spans="2:9" x14ac:dyDescent="0.2">
      <c r="B670" s="11" t="s">
        <v>707</v>
      </c>
      <c r="C670" s="12" t="s">
        <v>874</v>
      </c>
      <c r="D670" s="69"/>
      <c r="E670" s="64"/>
      <c r="F670" s="64">
        <v>68</v>
      </c>
      <c r="G670" s="65">
        <v>65</v>
      </c>
      <c r="I670" s="38"/>
    </row>
    <row r="671" spans="2:9" x14ac:dyDescent="0.2">
      <c r="B671" s="16" t="s">
        <v>708</v>
      </c>
      <c r="C671" s="17" t="s">
        <v>875</v>
      </c>
      <c r="D671" s="70"/>
      <c r="E671" s="62"/>
      <c r="F671" s="62">
        <v>57</v>
      </c>
      <c r="G671" s="63">
        <v>55</v>
      </c>
      <c r="I671" s="38"/>
    </row>
    <row r="672" spans="2:9" x14ac:dyDescent="0.2">
      <c r="B672" s="11" t="s">
        <v>709</v>
      </c>
      <c r="C672" s="12" t="s">
        <v>876</v>
      </c>
      <c r="D672" s="69"/>
      <c r="E672" s="64"/>
      <c r="F672" s="64">
        <v>58</v>
      </c>
      <c r="G672" s="65">
        <v>56</v>
      </c>
      <c r="I672" s="38"/>
    </row>
    <row r="673" spans="2:9" x14ac:dyDescent="0.2">
      <c r="B673" s="16" t="s">
        <v>710</v>
      </c>
      <c r="C673" s="17" t="s">
        <v>877</v>
      </c>
      <c r="D673" s="70"/>
      <c r="E673" s="62"/>
      <c r="F673" s="62">
        <v>56</v>
      </c>
      <c r="G673" s="63">
        <v>54</v>
      </c>
      <c r="I673" s="38"/>
    </row>
    <row r="674" spans="2:9" x14ac:dyDescent="0.2">
      <c r="B674" s="11" t="s">
        <v>711</v>
      </c>
      <c r="C674" s="12" t="s">
        <v>878</v>
      </c>
      <c r="D674" s="69"/>
      <c r="E674" s="64"/>
      <c r="F674" s="64">
        <v>68</v>
      </c>
      <c r="G674" s="65">
        <v>65</v>
      </c>
      <c r="I674" s="38"/>
    </row>
    <row r="675" spans="2:9" x14ac:dyDescent="0.2">
      <c r="B675" s="16" t="s">
        <v>712</v>
      </c>
      <c r="C675" s="17" t="s">
        <v>879</v>
      </c>
      <c r="D675" s="70"/>
      <c r="E675" s="62"/>
      <c r="F675" s="62">
        <v>54</v>
      </c>
      <c r="G675" s="63">
        <v>52</v>
      </c>
      <c r="I675" s="38"/>
    </row>
    <row r="676" spans="2:9" x14ac:dyDescent="0.2">
      <c r="B676" s="11" t="s">
        <v>713</v>
      </c>
      <c r="C676" s="12" t="s">
        <v>880</v>
      </c>
      <c r="D676" s="69"/>
      <c r="E676" s="64"/>
      <c r="F676" s="64">
        <v>48</v>
      </c>
      <c r="G676" s="65">
        <v>46</v>
      </c>
      <c r="I676" s="38"/>
    </row>
    <row r="677" spans="2:9" x14ac:dyDescent="0.2">
      <c r="B677" s="16" t="s">
        <v>714</v>
      </c>
      <c r="C677" s="17" t="s">
        <v>881</v>
      </c>
      <c r="D677" s="70"/>
      <c r="E677" s="62"/>
      <c r="F677" s="62">
        <v>58</v>
      </c>
      <c r="G677" s="63">
        <v>56</v>
      </c>
      <c r="I677" s="38"/>
    </row>
    <row r="678" spans="2:9" x14ac:dyDescent="0.2">
      <c r="B678" s="11" t="s">
        <v>715</v>
      </c>
      <c r="C678" s="12" t="s">
        <v>602</v>
      </c>
      <c r="D678" s="69"/>
      <c r="E678" s="64"/>
      <c r="F678" s="64">
        <v>56</v>
      </c>
      <c r="G678" s="65">
        <v>54</v>
      </c>
      <c r="I678" s="38"/>
    </row>
    <row r="679" spans="2:9" x14ac:dyDescent="0.2">
      <c r="B679" s="16" t="s">
        <v>716</v>
      </c>
      <c r="C679" s="17" t="s">
        <v>882</v>
      </c>
      <c r="D679" s="70"/>
      <c r="E679" s="62"/>
      <c r="F679" s="62">
        <v>54</v>
      </c>
      <c r="G679" s="63">
        <v>52</v>
      </c>
      <c r="I679" s="38"/>
    </row>
    <row r="680" spans="2:9" x14ac:dyDescent="0.2">
      <c r="B680" s="11" t="s">
        <v>717</v>
      </c>
      <c r="C680" s="12" t="s">
        <v>883</v>
      </c>
      <c r="D680" s="69"/>
      <c r="E680" s="64"/>
      <c r="F680" s="64">
        <v>68</v>
      </c>
      <c r="G680" s="65">
        <v>65</v>
      </c>
      <c r="I680" s="38"/>
    </row>
    <row r="681" spans="2:9" x14ac:dyDescent="0.2">
      <c r="B681" s="16" t="s">
        <v>718</v>
      </c>
      <c r="C681" s="17" t="s">
        <v>884</v>
      </c>
      <c r="D681" s="70"/>
      <c r="E681" s="62"/>
      <c r="F681" s="62">
        <v>56</v>
      </c>
      <c r="G681" s="63">
        <v>54</v>
      </c>
      <c r="I681" s="38"/>
    </row>
    <row r="682" spans="2:9" x14ac:dyDescent="0.2">
      <c r="B682" s="11" t="s">
        <v>719</v>
      </c>
      <c r="C682" s="12" t="s">
        <v>885</v>
      </c>
      <c r="D682" s="69"/>
      <c r="E682" s="64"/>
      <c r="F682" s="64">
        <v>58</v>
      </c>
      <c r="G682" s="65">
        <v>56</v>
      </c>
      <c r="I682" s="38"/>
    </row>
    <row r="683" spans="2:9" x14ac:dyDescent="0.2">
      <c r="B683" s="16" t="s">
        <v>720</v>
      </c>
      <c r="C683" s="17" t="s">
        <v>886</v>
      </c>
      <c r="D683" s="70"/>
      <c r="E683" s="62"/>
      <c r="F683" s="62">
        <v>56</v>
      </c>
      <c r="G683" s="63">
        <v>54</v>
      </c>
      <c r="I683" s="38"/>
    </row>
    <row r="684" spans="2:9" x14ac:dyDescent="0.2">
      <c r="B684" s="11" t="s">
        <v>721</v>
      </c>
      <c r="C684" s="12" t="s">
        <v>887</v>
      </c>
      <c r="D684" s="69"/>
      <c r="E684" s="64"/>
      <c r="F684" s="64">
        <v>58</v>
      </c>
      <c r="G684" s="65">
        <v>56</v>
      </c>
      <c r="I684" s="38"/>
    </row>
    <row r="685" spans="2:9" x14ac:dyDescent="0.2">
      <c r="B685" s="16" t="s">
        <v>722</v>
      </c>
      <c r="C685" s="17" t="s">
        <v>888</v>
      </c>
      <c r="D685" s="70"/>
      <c r="E685" s="62"/>
      <c r="F685" s="62">
        <v>56</v>
      </c>
      <c r="G685" s="63">
        <v>54</v>
      </c>
      <c r="I685" s="38"/>
    </row>
    <row r="686" spans="2:9" x14ac:dyDescent="0.2">
      <c r="B686" s="11" t="s">
        <v>723</v>
      </c>
      <c r="C686" s="12" t="s">
        <v>889</v>
      </c>
      <c r="D686" s="69"/>
      <c r="E686" s="64"/>
      <c r="F686" s="64">
        <v>96</v>
      </c>
      <c r="G686" s="65">
        <v>92</v>
      </c>
      <c r="I686" s="38"/>
    </row>
    <row r="687" spans="2:9" x14ac:dyDescent="0.2">
      <c r="B687" s="16" t="s">
        <v>724</v>
      </c>
      <c r="C687" s="17" t="s">
        <v>890</v>
      </c>
      <c r="D687" s="70"/>
      <c r="E687" s="62"/>
      <c r="F687" s="62">
        <v>61</v>
      </c>
      <c r="G687" s="63">
        <v>59</v>
      </c>
      <c r="I687" s="38"/>
    </row>
    <row r="688" spans="2:9" x14ac:dyDescent="0.2">
      <c r="B688" s="11" t="s">
        <v>725</v>
      </c>
      <c r="C688" s="12" t="s">
        <v>891</v>
      </c>
      <c r="D688" s="69"/>
      <c r="E688" s="64"/>
      <c r="F688" s="64">
        <v>68</v>
      </c>
      <c r="G688" s="65">
        <v>65</v>
      </c>
      <c r="I688" s="38"/>
    </row>
    <row r="689" spans="2:9" x14ac:dyDescent="0.2">
      <c r="B689" s="16" t="s">
        <v>726</v>
      </c>
      <c r="C689" s="17" t="s">
        <v>892</v>
      </c>
      <c r="D689" s="70"/>
      <c r="E689" s="62"/>
      <c r="F689" s="62">
        <v>68</v>
      </c>
      <c r="G689" s="63">
        <v>65</v>
      </c>
      <c r="I689" s="38"/>
    </row>
    <row r="690" spans="2:9" x14ac:dyDescent="0.2">
      <c r="B690" s="11" t="s">
        <v>727</v>
      </c>
      <c r="C690" s="12" t="s">
        <v>893</v>
      </c>
      <c r="D690" s="69"/>
      <c r="E690" s="64"/>
      <c r="F690" s="64">
        <v>74</v>
      </c>
      <c r="G690" s="65">
        <v>71</v>
      </c>
      <c r="I690" s="38"/>
    </row>
    <row r="691" spans="2:9" x14ac:dyDescent="0.2">
      <c r="B691" s="16" t="s">
        <v>728</v>
      </c>
      <c r="C691" s="17" t="s">
        <v>894</v>
      </c>
      <c r="D691" s="70"/>
      <c r="E691" s="62"/>
      <c r="F691" s="62">
        <v>72</v>
      </c>
      <c r="G691" s="63">
        <v>69</v>
      </c>
      <c r="I691" s="38"/>
    </row>
    <row r="692" spans="2:9" x14ac:dyDescent="0.2">
      <c r="B692" s="11" t="s">
        <v>729</v>
      </c>
      <c r="C692" s="12" t="s">
        <v>895</v>
      </c>
      <c r="D692" s="69"/>
      <c r="E692" s="64"/>
      <c r="F692" s="64">
        <v>74</v>
      </c>
      <c r="G692" s="65">
        <v>71</v>
      </c>
      <c r="I692" s="38"/>
    </row>
    <row r="693" spans="2:9" x14ac:dyDescent="0.2">
      <c r="B693" s="16" t="s">
        <v>730</v>
      </c>
      <c r="C693" s="17" t="s">
        <v>896</v>
      </c>
      <c r="D693" s="70"/>
      <c r="E693" s="62"/>
      <c r="F693" s="62">
        <v>72</v>
      </c>
      <c r="G693" s="63">
        <v>69</v>
      </c>
      <c r="I693" s="38"/>
    </row>
    <row r="694" spans="2:9" x14ac:dyDescent="0.2">
      <c r="B694" s="11" t="s">
        <v>731</v>
      </c>
      <c r="C694" s="12" t="s">
        <v>897</v>
      </c>
      <c r="D694" s="69"/>
      <c r="E694" s="64"/>
      <c r="F694" s="64">
        <v>68</v>
      </c>
      <c r="G694" s="65">
        <v>65</v>
      </c>
      <c r="I694" s="38"/>
    </row>
    <row r="695" spans="2:9" x14ac:dyDescent="0.2">
      <c r="B695" s="16" t="s">
        <v>732</v>
      </c>
      <c r="C695" s="17" t="s">
        <v>898</v>
      </c>
      <c r="D695" s="70"/>
      <c r="E695" s="62"/>
      <c r="F695" s="62">
        <v>74</v>
      </c>
      <c r="G695" s="63">
        <v>71</v>
      </c>
      <c r="I695" s="38"/>
    </row>
    <row r="696" spans="2:9" x14ac:dyDescent="0.2">
      <c r="B696" s="11" t="s">
        <v>603</v>
      </c>
      <c r="C696" s="12" t="s">
        <v>603</v>
      </c>
      <c r="D696" s="69"/>
      <c r="E696" s="64"/>
      <c r="F696" s="64">
        <v>60</v>
      </c>
      <c r="G696" s="65">
        <v>58</v>
      </c>
      <c r="I696" s="38"/>
    </row>
    <row r="697" spans="2:9" x14ac:dyDescent="0.2">
      <c r="B697" s="16" t="s">
        <v>733</v>
      </c>
      <c r="C697" s="17" t="s">
        <v>899</v>
      </c>
      <c r="D697" s="70"/>
      <c r="E697" s="62"/>
      <c r="F697" s="62">
        <v>68</v>
      </c>
      <c r="G697" s="63">
        <v>65</v>
      </c>
      <c r="I697" s="38"/>
    </row>
    <row r="698" spans="2:9" x14ac:dyDescent="0.2">
      <c r="B698" s="11" t="s">
        <v>734</v>
      </c>
      <c r="C698" s="12" t="s">
        <v>900</v>
      </c>
      <c r="D698" s="69"/>
      <c r="E698" s="64"/>
      <c r="F698" s="64">
        <v>74</v>
      </c>
      <c r="G698" s="65">
        <v>71</v>
      </c>
      <c r="I698" s="38"/>
    </row>
    <row r="699" spans="2:9" x14ac:dyDescent="0.2">
      <c r="B699" s="16" t="s">
        <v>735</v>
      </c>
      <c r="C699" s="17" t="s">
        <v>901</v>
      </c>
      <c r="D699" s="70"/>
      <c r="E699" s="62"/>
      <c r="F699" s="62">
        <v>56</v>
      </c>
      <c r="G699" s="63">
        <v>54</v>
      </c>
      <c r="I699" s="38"/>
    </row>
    <row r="700" spans="2:9" x14ac:dyDescent="0.2">
      <c r="B700" s="11" t="s">
        <v>736</v>
      </c>
      <c r="C700" s="12" t="s">
        <v>902</v>
      </c>
      <c r="D700" s="69"/>
      <c r="E700" s="64"/>
      <c r="F700" s="64">
        <v>56</v>
      </c>
      <c r="G700" s="65">
        <v>54</v>
      </c>
      <c r="I700" s="38"/>
    </row>
    <row r="701" spans="2:9" x14ac:dyDescent="0.2">
      <c r="B701" s="16" t="s">
        <v>604</v>
      </c>
      <c r="C701" s="17" t="s">
        <v>903</v>
      </c>
      <c r="D701" s="70"/>
      <c r="E701" s="62"/>
      <c r="F701" s="62">
        <v>96</v>
      </c>
      <c r="G701" s="63">
        <v>92</v>
      </c>
      <c r="I701" s="38"/>
    </row>
    <row r="702" spans="2:9" x14ac:dyDescent="0.2">
      <c r="B702" s="11" t="s">
        <v>605</v>
      </c>
      <c r="C702" s="12" t="s">
        <v>605</v>
      </c>
      <c r="D702" s="69"/>
      <c r="E702" s="64"/>
      <c r="F702" s="64">
        <v>48</v>
      </c>
      <c r="G702" s="65">
        <v>46</v>
      </c>
      <c r="I702" s="38"/>
    </row>
    <row r="703" spans="2:9" x14ac:dyDescent="0.2">
      <c r="B703" s="16" t="s">
        <v>737</v>
      </c>
      <c r="C703" s="17" t="s">
        <v>904</v>
      </c>
      <c r="D703" s="70"/>
      <c r="E703" s="62"/>
      <c r="F703" s="62">
        <v>68</v>
      </c>
      <c r="G703" s="63">
        <v>65</v>
      </c>
      <c r="I703" s="38"/>
    </row>
    <row r="704" spans="2:9" x14ac:dyDescent="0.2">
      <c r="B704" s="11" t="s">
        <v>606</v>
      </c>
      <c r="C704" s="12" t="s">
        <v>606</v>
      </c>
      <c r="D704" s="69"/>
      <c r="E704" s="64"/>
      <c r="F704" s="64">
        <v>68</v>
      </c>
      <c r="G704" s="65">
        <v>65</v>
      </c>
      <c r="I704" s="38"/>
    </row>
    <row r="705" spans="2:9" x14ac:dyDescent="0.2">
      <c r="B705" s="16" t="s">
        <v>738</v>
      </c>
      <c r="C705" s="17" t="s">
        <v>905</v>
      </c>
      <c r="D705" s="70"/>
      <c r="E705" s="62"/>
      <c r="F705" s="62">
        <v>96</v>
      </c>
      <c r="G705" s="63">
        <v>92</v>
      </c>
      <c r="I705" s="38"/>
    </row>
    <row r="706" spans="2:9" x14ac:dyDescent="0.2">
      <c r="B706" s="11" t="s">
        <v>739</v>
      </c>
      <c r="C706" s="12" t="s">
        <v>906</v>
      </c>
      <c r="D706" s="69"/>
      <c r="E706" s="64"/>
      <c r="F706" s="64">
        <v>61</v>
      </c>
      <c r="G706" s="65">
        <v>59</v>
      </c>
      <c r="I706" s="38"/>
    </row>
    <row r="707" spans="2:9" x14ac:dyDescent="0.2">
      <c r="B707" s="16" t="s">
        <v>740</v>
      </c>
      <c r="C707" s="17" t="s">
        <v>907</v>
      </c>
      <c r="D707" s="70"/>
      <c r="E707" s="62"/>
      <c r="F707" s="62">
        <v>68</v>
      </c>
      <c r="G707" s="63">
        <v>65</v>
      </c>
      <c r="I707" s="38"/>
    </row>
    <row r="708" spans="2:9" x14ac:dyDescent="0.2">
      <c r="B708" s="11" t="s">
        <v>741</v>
      </c>
      <c r="C708" s="12" t="s">
        <v>908</v>
      </c>
      <c r="D708" s="69"/>
      <c r="E708" s="64"/>
      <c r="F708" s="64">
        <v>56</v>
      </c>
      <c r="G708" s="65">
        <v>54</v>
      </c>
      <c r="I708" s="38"/>
    </row>
    <row r="709" spans="2:9" x14ac:dyDescent="0.2">
      <c r="B709" s="16" t="s">
        <v>607</v>
      </c>
      <c r="C709" s="17" t="s">
        <v>909</v>
      </c>
      <c r="D709" s="70"/>
      <c r="E709" s="62"/>
      <c r="F709" s="62">
        <v>96</v>
      </c>
      <c r="G709" s="63">
        <v>92</v>
      </c>
      <c r="I709" s="38"/>
    </row>
    <row r="710" spans="2:9" x14ac:dyDescent="0.2">
      <c r="B710" s="11" t="s">
        <v>742</v>
      </c>
      <c r="C710" s="12" t="s">
        <v>910</v>
      </c>
      <c r="D710" s="69"/>
      <c r="E710" s="64"/>
      <c r="F710" s="64">
        <v>74</v>
      </c>
      <c r="G710" s="65">
        <v>71</v>
      </c>
      <c r="I710" s="38"/>
    </row>
    <row r="711" spans="2:9" x14ac:dyDescent="0.2">
      <c r="B711" s="16" t="s">
        <v>608</v>
      </c>
      <c r="C711" s="17" t="s">
        <v>608</v>
      </c>
      <c r="D711" s="70"/>
      <c r="E711" s="62"/>
      <c r="F711" s="62">
        <v>96</v>
      </c>
      <c r="G711" s="63">
        <v>92</v>
      </c>
      <c r="I711" s="38"/>
    </row>
    <row r="712" spans="2:9" x14ac:dyDescent="0.2">
      <c r="B712" s="11" t="s">
        <v>743</v>
      </c>
      <c r="C712" s="12" t="s">
        <v>911</v>
      </c>
      <c r="D712" s="69"/>
      <c r="E712" s="64"/>
      <c r="F712" s="64">
        <v>68</v>
      </c>
      <c r="G712" s="65">
        <v>65</v>
      </c>
      <c r="I712" s="38"/>
    </row>
    <row r="713" spans="2:9" x14ac:dyDescent="0.2">
      <c r="B713" s="16" t="s">
        <v>744</v>
      </c>
      <c r="C713" s="17" t="s">
        <v>912</v>
      </c>
      <c r="D713" s="70"/>
      <c r="E713" s="62"/>
      <c r="F713" s="62">
        <v>68</v>
      </c>
      <c r="G713" s="63">
        <v>65</v>
      </c>
      <c r="I713" s="38"/>
    </row>
    <row r="714" spans="2:9" x14ac:dyDescent="0.2">
      <c r="B714" s="11" t="s">
        <v>745</v>
      </c>
      <c r="C714" s="12" t="s">
        <v>913</v>
      </c>
      <c r="D714" s="69"/>
      <c r="E714" s="64"/>
      <c r="F714" s="64">
        <v>96</v>
      </c>
      <c r="G714" s="65">
        <v>92</v>
      </c>
      <c r="I714" s="38"/>
    </row>
    <row r="715" spans="2:9" x14ac:dyDescent="0.2">
      <c r="B715" s="16" t="s">
        <v>746</v>
      </c>
      <c r="C715" s="17" t="s">
        <v>914</v>
      </c>
      <c r="D715" s="70"/>
      <c r="E715" s="62"/>
      <c r="F715" s="62">
        <v>58</v>
      </c>
      <c r="G715" s="63">
        <v>56</v>
      </c>
      <c r="I715" s="38"/>
    </row>
    <row r="716" spans="2:9" x14ac:dyDescent="0.2">
      <c r="B716" s="11" t="s">
        <v>747</v>
      </c>
      <c r="C716" s="12" t="s">
        <v>915</v>
      </c>
      <c r="D716" s="69"/>
      <c r="E716" s="64"/>
      <c r="F716" s="64">
        <v>58</v>
      </c>
      <c r="G716" s="65">
        <v>56</v>
      </c>
      <c r="I716" s="38"/>
    </row>
    <row r="717" spans="2:9" x14ac:dyDescent="0.2">
      <c r="B717" s="16" t="s">
        <v>748</v>
      </c>
      <c r="C717" s="17" t="s">
        <v>916</v>
      </c>
      <c r="D717" s="70"/>
      <c r="E717" s="62"/>
      <c r="F717" s="62">
        <v>68</v>
      </c>
      <c r="G717" s="63">
        <v>65</v>
      </c>
      <c r="I717" s="38"/>
    </row>
    <row r="718" spans="2:9" x14ac:dyDescent="0.2">
      <c r="B718" s="11" t="s">
        <v>749</v>
      </c>
      <c r="C718" s="12" t="s">
        <v>917</v>
      </c>
      <c r="D718" s="69"/>
      <c r="E718" s="64"/>
      <c r="F718" s="64">
        <v>58</v>
      </c>
      <c r="G718" s="65">
        <v>56</v>
      </c>
      <c r="I718" s="38"/>
    </row>
    <row r="719" spans="2:9" x14ac:dyDescent="0.2">
      <c r="B719" s="16" t="s">
        <v>750</v>
      </c>
      <c r="C719" s="17" t="s">
        <v>918</v>
      </c>
      <c r="D719" s="70"/>
      <c r="E719" s="62"/>
      <c r="F719" s="62">
        <v>56</v>
      </c>
      <c r="G719" s="63">
        <v>54</v>
      </c>
      <c r="I719" s="38"/>
    </row>
    <row r="720" spans="2:9" x14ac:dyDescent="0.2">
      <c r="B720" s="11" t="s">
        <v>751</v>
      </c>
      <c r="C720" s="12" t="s">
        <v>919</v>
      </c>
      <c r="D720" s="69"/>
      <c r="E720" s="64"/>
      <c r="F720" s="64">
        <v>61</v>
      </c>
      <c r="G720" s="65">
        <v>59</v>
      </c>
      <c r="I720" s="38"/>
    </row>
    <row r="721" spans="2:9" x14ac:dyDescent="0.2">
      <c r="B721" s="16" t="s">
        <v>752</v>
      </c>
      <c r="C721" s="17" t="s">
        <v>920</v>
      </c>
      <c r="D721" s="70"/>
      <c r="E721" s="62"/>
      <c r="F721" s="62">
        <v>61</v>
      </c>
      <c r="G721" s="63">
        <v>59</v>
      </c>
      <c r="I721" s="38"/>
    </row>
    <row r="722" spans="2:9" x14ac:dyDescent="0.2">
      <c r="B722" s="11" t="s">
        <v>753</v>
      </c>
      <c r="C722" s="12" t="s">
        <v>921</v>
      </c>
      <c r="D722" s="69"/>
      <c r="E722" s="64"/>
      <c r="F722" s="64">
        <v>74</v>
      </c>
      <c r="G722" s="65">
        <v>71</v>
      </c>
      <c r="I722" s="38"/>
    </row>
    <row r="723" spans="2:9" x14ac:dyDescent="0.2">
      <c r="B723" s="16" t="s">
        <v>754</v>
      </c>
      <c r="C723" s="17" t="s">
        <v>922</v>
      </c>
      <c r="D723" s="70"/>
      <c r="E723" s="62"/>
      <c r="F723" s="62">
        <v>74</v>
      </c>
      <c r="G723" s="63">
        <v>71</v>
      </c>
      <c r="I723" s="38"/>
    </row>
    <row r="724" spans="2:9" x14ac:dyDescent="0.2">
      <c r="B724" s="11" t="s">
        <v>755</v>
      </c>
      <c r="C724" s="12" t="s">
        <v>923</v>
      </c>
      <c r="D724" s="69"/>
      <c r="E724" s="64"/>
      <c r="F724" s="64">
        <v>68</v>
      </c>
      <c r="G724" s="65">
        <v>65</v>
      </c>
      <c r="I724" s="38"/>
    </row>
    <row r="725" spans="2:9" x14ac:dyDescent="0.2">
      <c r="B725" s="16" t="s">
        <v>756</v>
      </c>
      <c r="C725" s="17" t="s">
        <v>924</v>
      </c>
      <c r="D725" s="70"/>
      <c r="E725" s="62"/>
      <c r="F725" s="62">
        <v>68</v>
      </c>
      <c r="G725" s="63">
        <v>65</v>
      </c>
      <c r="I725" s="38"/>
    </row>
    <row r="726" spans="2:9" x14ac:dyDescent="0.2">
      <c r="B726" s="11" t="s">
        <v>757</v>
      </c>
      <c r="C726" s="12" t="s">
        <v>925</v>
      </c>
      <c r="D726" s="69"/>
      <c r="E726" s="64"/>
      <c r="F726" s="64">
        <v>61</v>
      </c>
      <c r="G726" s="65">
        <v>59</v>
      </c>
      <c r="I726" s="38"/>
    </row>
    <row r="727" spans="2:9" x14ac:dyDescent="0.2">
      <c r="B727" s="16" t="s">
        <v>758</v>
      </c>
      <c r="C727" s="17" t="s">
        <v>926</v>
      </c>
      <c r="D727" s="70"/>
      <c r="E727" s="62"/>
      <c r="F727" s="62">
        <v>61</v>
      </c>
      <c r="G727" s="63">
        <v>59</v>
      </c>
      <c r="I727" s="38"/>
    </row>
    <row r="728" spans="2:9" x14ac:dyDescent="0.2">
      <c r="B728" s="11" t="s">
        <v>759</v>
      </c>
      <c r="C728" s="12" t="s">
        <v>927</v>
      </c>
      <c r="D728" s="69"/>
      <c r="E728" s="64"/>
      <c r="F728" s="64">
        <v>68</v>
      </c>
      <c r="G728" s="65">
        <v>65</v>
      </c>
      <c r="I728" s="38"/>
    </row>
    <row r="729" spans="2:9" x14ac:dyDescent="0.2">
      <c r="B729" s="16" t="s">
        <v>760</v>
      </c>
      <c r="C729" s="17" t="s">
        <v>928</v>
      </c>
      <c r="D729" s="70"/>
      <c r="E729" s="62"/>
      <c r="F729" s="62">
        <v>68</v>
      </c>
      <c r="G729" s="63">
        <v>65</v>
      </c>
      <c r="I729" s="38"/>
    </row>
    <row r="730" spans="2:9" x14ac:dyDescent="0.2">
      <c r="B730" s="11" t="s">
        <v>761</v>
      </c>
      <c r="C730" s="12" t="s">
        <v>929</v>
      </c>
      <c r="D730" s="69"/>
      <c r="E730" s="64"/>
      <c r="F730" s="64">
        <v>68</v>
      </c>
      <c r="G730" s="65">
        <v>65</v>
      </c>
      <c r="I730" s="38"/>
    </row>
    <row r="731" spans="2:9" x14ac:dyDescent="0.2">
      <c r="B731" s="16" t="s">
        <v>762</v>
      </c>
      <c r="C731" s="17" t="s">
        <v>930</v>
      </c>
      <c r="D731" s="70"/>
      <c r="E731" s="62"/>
      <c r="F731" s="62">
        <v>96</v>
      </c>
      <c r="G731" s="63">
        <v>92</v>
      </c>
      <c r="I731" s="38"/>
    </row>
    <row r="732" spans="2:9" x14ac:dyDescent="0.2">
      <c r="B732" s="11" t="s">
        <v>763</v>
      </c>
      <c r="C732" s="12" t="s">
        <v>931</v>
      </c>
      <c r="D732" s="69"/>
      <c r="E732" s="64"/>
      <c r="F732" s="64">
        <v>58</v>
      </c>
      <c r="G732" s="65">
        <v>56</v>
      </c>
      <c r="I732" s="38"/>
    </row>
    <row r="733" spans="2:9" x14ac:dyDescent="0.2">
      <c r="B733" s="16" t="s">
        <v>764</v>
      </c>
      <c r="C733" s="17" t="s">
        <v>932</v>
      </c>
      <c r="D733" s="70"/>
      <c r="E733" s="62"/>
      <c r="F733" s="62">
        <v>98</v>
      </c>
      <c r="G733" s="63">
        <v>94</v>
      </c>
      <c r="I733" s="38"/>
    </row>
    <row r="734" spans="2:9" x14ac:dyDescent="0.2">
      <c r="B734" s="11" t="s">
        <v>765</v>
      </c>
      <c r="C734" s="12" t="s">
        <v>933</v>
      </c>
      <c r="D734" s="69"/>
      <c r="E734" s="64"/>
      <c r="F734" s="64">
        <v>68</v>
      </c>
      <c r="G734" s="65">
        <v>65</v>
      </c>
      <c r="I734" s="38"/>
    </row>
    <row r="735" spans="2:9" x14ac:dyDescent="0.2">
      <c r="B735" s="16" t="s">
        <v>766</v>
      </c>
      <c r="C735" s="17" t="s">
        <v>934</v>
      </c>
      <c r="D735" s="70"/>
      <c r="E735" s="62"/>
      <c r="F735" s="62">
        <v>58</v>
      </c>
      <c r="G735" s="63">
        <v>56</v>
      </c>
      <c r="I735" s="38"/>
    </row>
    <row r="736" spans="2:9" x14ac:dyDescent="0.2">
      <c r="B736" s="11" t="s">
        <v>767</v>
      </c>
      <c r="C736" s="12" t="s">
        <v>935</v>
      </c>
      <c r="D736" s="69"/>
      <c r="E736" s="64"/>
      <c r="F736" s="64">
        <v>69</v>
      </c>
      <c r="G736" s="65">
        <v>66</v>
      </c>
      <c r="I736" s="38"/>
    </row>
    <row r="737" spans="2:9" x14ac:dyDescent="0.2">
      <c r="B737" s="16" t="s">
        <v>768</v>
      </c>
      <c r="C737" s="17" t="s">
        <v>936</v>
      </c>
      <c r="D737" s="70"/>
      <c r="E737" s="62"/>
      <c r="F737" s="62">
        <v>69</v>
      </c>
      <c r="G737" s="63">
        <v>66</v>
      </c>
      <c r="I737" s="38"/>
    </row>
    <row r="738" spans="2:9" x14ac:dyDescent="0.2">
      <c r="B738" s="11" t="s">
        <v>609</v>
      </c>
      <c r="C738" s="12" t="s">
        <v>937</v>
      </c>
      <c r="D738" s="69"/>
      <c r="E738" s="64"/>
      <c r="F738" s="64">
        <v>74</v>
      </c>
      <c r="G738" s="65">
        <v>71</v>
      </c>
      <c r="I738" s="38"/>
    </row>
    <row r="739" spans="2:9" x14ac:dyDescent="0.2">
      <c r="B739" s="16" t="s">
        <v>769</v>
      </c>
      <c r="C739" s="17" t="s">
        <v>938</v>
      </c>
      <c r="D739" s="70"/>
      <c r="E739" s="62"/>
      <c r="F739" s="62">
        <v>73</v>
      </c>
      <c r="G739" s="63">
        <v>70</v>
      </c>
      <c r="I739" s="38"/>
    </row>
    <row r="740" spans="2:9" x14ac:dyDescent="0.2">
      <c r="B740" s="11" t="s">
        <v>770</v>
      </c>
      <c r="C740" s="12" t="s">
        <v>939</v>
      </c>
      <c r="D740" s="69"/>
      <c r="E740" s="64"/>
      <c r="F740" s="64">
        <v>78</v>
      </c>
      <c r="G740" s="65">
        <v>75</v>
      </c>
      <c r="I740" s="38"/>
    </row>
    <row r="741" spans="2:9" x14ac:dyDescent="0.2">
      <c r="B741" s="16" t="s">
        <v>771</v>
      </c>
      <c r="C741" s="17" t="s">
        <v>940</v>
      </c>
      <c r="D741" s="70"/>
      <c r="E741" s="62"/>
      <c r="F741" s="62">
        <v>100</v>
      </c>
      <c r="G741" s="63">
        <v>96</v>
      </c>
      <c r="I741" s="38"/>
    </row>
    <row r="742" spans="2:9" x14ac:dyDescent="0.2">
      <c r="B742" s="11" t="s">
        <v>772</v>
      </c>
      <c r="C742" s="12" t="s">
        <v>941</v>
      </c>
      <c r="D742" s="69"/>
      <c r="E742" s="64"/>
      <c r="F742" s="64">
        <v>74</v>
      </c>
      <c r="G742" s="65">
        <v>71</v>
      </c>
      <c r="I742" s="38"/>
    </row>
    <row r="743" spans="2:9" x14ac:dyDescent="0.2">
      <c r="B743" s="16" t="s">
        <v>773</v>
      </c>
      <c r="C743" s="17" t="s">
        <v>942</v>
      </c>
      <c r="D743" s="70"/>
      <c r="E743" s="62"/>
      <c r="F743" s="62">
        <v>110</v>
      </c>
      <c r="G743" s="63">
        <v>105</v>
      </c>
      <c r="I743" s="38"/>
    </row>
    <row r="744" spans="2:9" x14ac:dyDescent="0.2">
      <c r="B744" s="11" t="s">
        <v>774</v>
      </c>
      <c r="C744" s="12" t="s">
        <v>943</v>
      </c>
      <c r="D744" s="69"/>
      <c r="E744" s="64"/>
      <c r="F744" s="64">
        <v>74</v>
      </c>
      <c r="G744" s="65">
        <v>71</v>
      </c>
      <c r="I744" s="38"/>
    </row>
    <row r="745" spans="2:9" x14ac:dyDescent="0.2">
      <c r="B745" s="16" t="s">
        <v>775</v>
      </c>
      <c r="C745" s="17" t="s">
        <v>944</v>
      </c>
      <c r="D745" s="70"/>
      <c r="E745" s="62"/>
      <c r="F745" s="62">
        <v>84</v>
      </c>
      <c r="G745" s="63">
        <v>80</v>
      </c>
      <c r="I745" s="38"/>
    </row>
    <row r="746" spans="2:9" x14ac:dyDescent="0.2">
      <c r="B746" s="11" t="s">
        <v>776</v>
      </c>
      <c r="C746" s="12" t="s">
        <v>945</v>
      </c>
      <c r="D746" s="69"/>
      <c r="E746" s="64"/>
      <c r="F746" s="64">
        <v>58</v>
      </c>
      <c r="G746" s="65">
        <v>56</v>
      </c>
      <c r="I746" s="38"/>
    </row>
    <row r="747" spans="2:9" x14ac:dyDescent="0.2">
      <c r="B747" s="16" t="s">
        <v>777</v>
      </c>
      <c r="C747" s="17" t="s">
        <v>610</v>
      </c>
      <c r="D747" s="70"/>
      <c r="E747" s="62"/>
      <c r="F747" s="62">
        <v>52</v>
      </c>
      <c r="G747" s="63">
        <v>50</v>
      </c>
      <c r="I747" s="38"/>
    </row>
    <row r="748" spans="2:9" x14ac:dyDescent="0.2">
      <c r="B748" s="11" t="s">
        <v>778</v>
      </c>
      <c r="C748" s="12" t="s">
        <v>611</v>
      </c>
      <c r="D748" s="69"/>
      <c r="E748" s="64"/>
      <c r="F748" s="64">
        <v>55</v>
      </c>
      <c r="G748" s="65">
        <v>53</v>
      </c>
      <c r="I748" s="38"/>
    </row>
    <row r="749" spans="2:9" x14ac:dyDescent="0.2">
      <c r="B749" s="16" t="s">
        <v>779</v>
      </c>
      <c r="C749" s="17" t="s">
        <v>946</v>
      </c>
      <c r="D749" s="70"/>
      <c r="E749" s="62"/>
      <c r="F749" s="62">
        <v>56</v>
      </c>
      <c r="G749" s="63">
        <v>54</v>
      </c>
      <c r="I749" s="38"/>
    </row>
    <row r="750" spans="2:9" x14ac:dyDescent="0.2">
      <c r="B750" s="11" t="s">
        <v>780</v>
      </c>
      <c r="C750" s="12" t="s">
        <v>947</v>
      </c>
      <c r="D750" s="69"/>
      <c r="E750" s="64"/>
      <c r="F750" s="64">
        <v>68</v>
      </c>
      <c r="G750" s="65">
        <v>65</v>
      </c>
      <c r="I750" s="38"/>
    </row>
    <row r="751" spans="2:9" x14ac:dyDescent="0.2">
      <c r="B751" s="16" t="s">
        <v>781</v>
      </c>
      <c r="C751" s="17" t="s">
        <v>948</v>
      </c>
      <c r="D751" s="70"/>
      <c r="E751" s="62"/>
      <c r="F751" s="62">
        <v>68</v>
      </c>
      <c r="G751" s="63">
        <v>65</v>
      </c>
      <c r="I751" s="38"/>
    </row>
    <row r="752" spans="2:9" x14ac:dyDescent="0.2">
      <c r="B752" s="11" t="s">
        <v>782</v>
      </c>
      <c r="C752" s="12" t="s">
        <v>949</v>
      </c>
      <c r="D752" s="69"/>
      <c r="E752" s="64"/>
      <c r="F752" s="64">
        <v>72</v>
      </c>
      <c r="G752" s="65">
        <v>69</v>
      </c>
      <c r="I752" s="38"/>
    </row>
    <row r="753" spans="2:9" x14ac:dyDescent="0.2">
      <c r="B753" s="16" t="s">
        <v>783</v>
      </c>
      <c r="C753" s="17" t="s">
        <v>950</v>
      </c>
      <c r="D753" s="70"/>
      <c r="E753" s="62"/>
      <c r="F753" s="62">
        <v>84</v>
      </c>
      <c r="G753" s="63">
        <v>80</v>
      </c>
      <c r="I753" s="38"/>
    </row>
    <row r="754" spans="2:9" x14ac:dyDescent="0.2">
      <c r="B754" s="11" t="s">
        <v>784</v>
      </c>
      <c r="C754" s="12" t="s">
        <v>951</v>
      </c>
      <c r="D754" s="69"/>
      <c r="E754" s="64"/>
      <c r="F754" s="64">
        <v>84</v>
      </c>
      <c r="G754" s="65">
        <v>80</v>
      </c>
      <c r="I754" s="38"/>
    </row>
    <row r="755" spans="2:9" x14ac:dyDescent="0.2">
      <c r="B755" s="16" t="s">
        <v>785</v>
      </c>
      <c r="C755" s="17" t="s">
        <v>612</v>
      </c>
      <c r="D755" s="70"/>
      <c r="E755" s="62"/>
      <c r="F755" s="62">
        <v>54</v>
      </c>
      <c r="G755" s="63">
        <v>52</v>
      </c>
      <c r="I755" s="38"/>
    </row>
    <row r="756" spans="2:9" x14ac:dyDescent="0.2">
      <c r="B756" s="11" t="s">
        <v>786</v>
      </c>
      <c r="C756" s="12" t="s">
        <v>613</v>
      </c>
      <c r="D756" s="69"/>
      <c r="E756" s="64"/>
      <c r="F756" s="64">
        <v>68</v>
      </c>
      <c r="G756" s="65">
        <v>65</v>
      </c>
      <c r="I756" s="38"/>
    </row>
    <row r="757" spans="2:9" x14ac:dyDescent="0.2">
      <c r="B757" s="16" t="s">
        <v>787</v>
      </c>
      <c r="C757" s="17" t="s">
        <v>952</v>
      </c>
      <c r="D757" s="70"/>
      <c r="E757" s="62"/>
      <c r="F757" s="62">
        <v>62</v>
      </c>
      <c r="G757" s="63">
        <v>60</v>
      </c>
      <c r="I757" s="38"/>
    </row>
    <row r="758" spans="2:9" x14ac:dyDescent="0.2">
      <c r="B758" s="11" t="s">
        <v>614</v>
      </c>
      <c r="C758" s="12" t="s">
        <v>614</v>
      </c>
      <c r="D758" s="69"/>
      <c r="E758" s="64"/>
      <c r="F758" s="64">
        <v>48</v>
      </c>
      <c r="G758" s="65">
        <v>46</v>
      </c>
    </row>
    <row r="759" spans="2:9" x14ac:dyDescent="0.2">
      <c r="B759" s="16" t="s">
        <v>615</v>
      </c>
      <c r="C759" s="17" t="s">
        <v>615</v>
      </c>
      <c r="D759" s="70"/>
      <c r="E759" s="62"/>
      <c r="F759" s="62">
        <v>48</v>
      </c>
      <c r="G759" s="63">
        <v>46</v>
      </c>
    </row>
    <row r="760" spans="2:9" x14ac:dyDescent="0.2">
      <c r="B760" s="11" t="s">
        <v>788</v>
      </c>
      <c r="C760" s="12" t="s">
        <v>616</v>
      </c>
      <c r="D760" s="69"/>
      <c r="E760" s="64"/>
      <c r="F760" s="64">
        <v>68</v>
      </c>
      <c r="G760" s="65">
        <v>65</v>
      </c>
    </row>
    <row r="761" spans="2:9" x14ac:dyDescent="0.2">
      <c r="B761" s="16" t="s">
        <v>790</v>
      </c>
      <c r="C761" s="17" t="s">
        <v>617</v>
      </c>
      <c r="D761" s="70"/>
      <c r="E761" s="62"/>
      <c r="F761" s="62">
        <v>96</v>
      </c>
      <c r="G761" s="63">
        <v>92</v>
      </c>
    </row>
    <row r="762" spans="2:9" x14ac:dyDescent="0.2">
      <c r="B762" s="11" t="s">
        <v>789</v>
      </c>
      <c r="C762" s="12" t="s">
        <v>953</v>
      </c>
      <c r="D762" s="69"/>
      <c r="E762" s="64"/>
      <c r="F762" s="64">
        <v>60</v>
      </c>
      <c r="G762" s="65">
        <v>58</v>
      </c>
    </row>
    <row r="763" spans="2:9" ht="16.5" x14ac:dyDescent="0.25">
      <c r="B763"/>
      <c r="C763"/>
      <c r="D763" s="74"/>
      <c r="E763" s="58"/>
      <c r="F763" s="58"/>
      <c r="G763" s="58"/>
    </row>
    <row r="764" spans="2:9" x14ac:dyDescent="0.2">
      <c r="B764" s="32" t="s">
        <v>957</v>
      </c>
      <c r="C764" s="33" t="s">
        <v>961</v>
      </c>
      <c r="D764" s="77" t="s">
        <v>963</v>
      </c>
      <c r="E764" s="66"/>
      <c r="F764" s="66"/>
      <c r="G764" s="67"/>
    </row>
    <row r="765" spans="2:9" x14ac:dyDescent="0.2">
      <c r="B765" s="32" t="s">
        <v>958</v>
      </c>
      <c r="C765" s="33" t="s">
        <v>962</v>
      </c>
      <c r="D765" s="77" t="s">
        <v>963</v>
      </c>
      <c r="E765" s="66"/>
      <c r="F765" s="66"/>
      <c r="G765" s="67"/>
    </row>
    <row r="766" spans="2:9" x14ac:dyDescent="0.2">
      <c r="B766" s="32" t="s">
        <v>959</v>
      </c>
      <c r="C766" s="33" t="s">
        <v>964</v>
      </c>
      <c r="D766" s="77" t="s">
        <v>963</v>
      </c>
      <c r="E766" s="66"/>
      <c r="F766" s="66"/>
      <c r="G766" s="67"/>
    </row>
    <row r="767" spans="2:9" x14ac:dyDescent="0.2">
      <c r="B767" s="32" t="s">
        <v>960</v>
      </c>
      <c r="C767" s="33" t="s">
        <v>963</v>
      </c>
      <c r="D767" s="77" t="s">
        <v>963</v>
      </c>
      <c r="E767" s="66"/>
      <c r="F767" s="66"/>
      <c r="G767" s="67"/>
    </row>
  </sheetData>
  <phoneticPr fontId="1" alignment="center"/>
  <dataValidations count="1">
    <dataValidation allowBlank="1" showInputMessage="1" showErrorMessage="1" promptTitle="Plantilla de lista de precios" prompt="_x000a_Para personalizar rápidamente esta plantilla:_x000a__x000a_1. Agregue el logotipo y los detalles de su compañía._x000a_2. Edite los encabezados de tabla, según sea necesario._x000a_3. Escriba los detalles y los precios de su producto." sqref="A1" xr:uid="{00000000-0002-0000-0000-000000000000}"/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2AAC-BB58-644B-8FFD-847219396364}">
  <dimension ref="A1:G758"/>
  <sheetViews>
    <sheetView zoomScaleNormal="100" zoomScaleSheetLayoutView="100" workbookViewId="0"/>
  </sheetViews>
  <sheetFormatPr defaultRowHeight="16.5" x14ac:dyDescent="0.25"/>
  <cols>
    <col min="1" max="1" width="2.1484375" customWidth="1"/>
    <col min="2" max="2" width="31.3671875" bestFit="1" customWidth="1"/>
    <col min="3" max="3" width="22.890625" bestFit="1" customWidth="1"/>
    <col min="4" max="5" width="9.10546875" bestFit="1" customWidth="1"/>
    <col min="7" max="7" width="9.10546875" bestFit="1" customWidth="1"/>
  </cols>
  <sheetData>
    <row r="1" spans="1:7" x14ac:dyDescent="0.25">
      <c r="A1" s="3"/>
      <c r="B1" s="3"/>
      <c r="C1" s="3"/>
      <c r="D1" s="3"/>
      <c r="E1" s="3"/>
      <c r="F1" s="3"/>
      <c r="G1" s="3"/>
    </row>
    <row r="2" spans="1:7" x14ac:dyDescent="0.25">
      <c r="A2" s="3"/>
      <c r="B2" s="3" t="s">
        <v>0</v>
      </c>
      <c r="C2" s="3"/>
      <c r="D2" s="3"/>
      <c r="E2" s="3"/>
      <c r="F2" s="3"/>
      <c r="G2" s="3"/>
    </row>
    <row r="3" spans="1:7" x14ac:dyDescent="0.25">
      <c r="A3" s="3"/>
      <c r="B3" s="4" t="s">
        <v>18</v>
      </c>
      <c r="C3" s="4" t="s">
        <v>17</v>
      </c>
      <c r="D3" s="4" t="s">
        <v>16</v>
      </c>
      <c r="E3" s="4" t="s">
        <v>19</v>
      </c>
      <c r="F3" s="4" t="s">
        <v>20</v>
      </c>
      <c r="G3" s="4" t="s">
        <v>21</v>
      </c>
    </row>
    <row r="4" spans="1:7" x14ac:dyDescent="0.25">
      <c r="B4" s="5"/>
      <c r="C4" s="6" t="s">
        <v>1</v>
      </c>
      <c r="D4" s="7"/>
      <c r="E4" s="8"/>
      <c r="F4" s="9"/>
      <c r="G4" s="10"/>
    </row>
    <row r="5" spans="1:7" x14ac:dyDescent="0.25">
      <c r="B5" s="11" t="s">
        <v>4</v>
      </c>
      <c r="C5" s="12" t="s">
        <v>2</v>
      </c>
      <c r="D5" s="12" t="s">
        <v>23</v>
      </c>
      <c r="E5" s="13">
        <v>44.85</v>
      </c>
      <c r="F5" s="14">
        <v>65</v>
      </c>
      <c r="G5" s="15">
        <v>60</v>
      </c>
    </row>
    <row r="6" spans="1:7" x14ac:dyDescent="0.25">
      <c r="B6" s="16" t="s">
        <v>3</v>
      </c>
      <c r="C6" s="17" t="s">
        <v>2</v>
      </c>
      <c r="D6" s="17" t="s">
        <v>23</v>
      </c>
      <c r="E6" s="18">
        <v>44.56</v>
      </c>
      <c r="F6" s="19">
        <v>65</v>
      </c>
      <c r="G6" s="20">
        <v>60</v>
      </c>
    </row>
    <row r="7" spans="1:7" x14ac:dyDescent="0.25">
      <c r="B7" s="11">
        <v>40080276</v>
      </c>
      <c r="C7" s="12" t="s">
        <v>5</v>
      </c>
      <c r="D7" s="12" t="s">
        <v>23</v>
      </c>
      <c r="E7" s="13">
        <v>30.48</v>
      </c>
      <c r="F7" s="14">
        <v>45</v>
      </c>
      <c r="G7" s="15">
        <v>40</v>
      </c>
    </row>
    <row r="8" spans="1:7" x14ac:dyDescent="0.25">
      <c r="B8" s="16">
        <v>40080201</v>
      </c>
      <c r="C8" s="17" t="s">
        <v>6</v>
      </c>
      <c r="D8" s="17" t="s">
        <v>23</v>
      </c>
      <c r="E8" s="18">
        <v>47.15</v>
      </c>
      <c r="F8" s="19">
        <v>70</v>
      </c>
      <c r="G8" s="20">
        <v>66</v>
      </c>
    </row>
    <row r="9" spans="1:7" x14ac:dyDescent="0.25">
      <c r="B9" s="11">
        <v>40080277</v>
      </c>
      <c r="C9" s="12" t="s">
        <v>7</v>
      </c>
      <c r="D9" s="12" t="s">
        <v>23</v>
      </c>
      <c r="E9" s="13">
        <v>37.72</v>
      </c>
      <c r="F9" s="14">
        <v>53</v>
      </c>
      <c r="G9" s="15">
        <v>48</v>
      </c>
    </row>
    <row r="10" spans="1:7" x14ac:dyDescent="0.25">
      <c r="B10" s="16">
        <v>40080231</v>
      </c>
      <c r="C10" s="17" t="s">
        <v>8</v>
      </c>
      <c r="D10" s="17" t="s">
        <v>23</v>
      </c>
      <c r="E10" s="18">
        <v>57.5</v>
      </c>
      <c r="F10" s="19">
        <v>85</v>
      </c>
      <c r="G10" s="20">
        <v>80</v>
      </c>
    </row>
    <row r="11" spans="1:7" x14ac:dyDescent="0.25">
      <c r="B11" s="11">
        <v>40080242</v>
      </c>
      <c r="C11" s="12" t="s">
        <v>9</v>
      </c>
      <c r="D11" s="12" t="s">
        <v>23</v>
      </c>
      <c r="E11" s="13">
        <v>56.35</v>
      </c>
      <c r="F11" s="14">
        <v>80</v>
      </c>
      <c r="G11" s="15">
        <v>76</v>
      </c>
    </row>
    <row r="12" spans="1:7" x14ac:dyDescent="0.25">
      <c r="B12" s="16">
        <v>40080203</v>
      </c>
      <c r="C12" s="17" t="s">
        <v>9</v>
      </c>
      <c r="D12" s="17" t="s">
        <v>23</v>
      </c>
      <c r="E12" s="18">
        <v>56.35</v>
      </c>
      <c r="F12" s="19">
        <v>80</v>
      </c>
      <c r="G12" s="20">
        <v>76</v>
      </c>
    </row>
    <row r="13" spans="1:7" x14ac:dyDescent="0.25">
      <c r="B13" s="11">
        <v>40080204</v>
      </c>
      <c r="C13" s="12" t="s">
        <v>10</v>
      </c>
      <c r="D13" s="12" t="s">
        <v>23</v>
      </c>
      <c r="E13" s="13">
        <v>57.5</v>
      </c>
      <c r="F13" s="14">
        <v>85</v>
      </c>
      <c r="G13" s="15">
        <v>78</v>
      </c>
    </row>
    <row r="14" spans="1:7" x14ac:dyDescent="0.25">
      <c r="B14" s="16">
        <v>40080212</v>
      </c>
      <c r="C14" s="17" t="s">
        <v>10</v>
      </c>
      <c r="D14" s="17" t="s">
        <v>23</v>
      </c>
      <c r="E14" s="18">
        <v>57.5</v>
      </c>
      <c r="F14" s="19">
        <v>85</v>
      </c>
      <c r="G14" s="20">
        <v>78</v>
      </c>
    </row>
    <row r="15" spans="1:7" x14ac:dyDescent="0.25">
      <c r="B15" s="11">
        <v>40080219</v>
      </c>
      <c r="C15" s="12" t="s">
        <v>11</v>
      </c>
      <c r="D15" s="12" t="s">
        <v>23</v>
      </c>
      <c r="E15" s="13">
        <v>59.23</v>
      </c>
      <c r="F15" s="14">
        <v>85</v>
      </c>
      <c r="G15" s="15">
        <v>80</v>
      </c>
    </row>
    <row r="16" spans="1:7" x14ac:dyDescent="0.25">
      <c r="B16" s="16">
        <v>40080213</v>
      </c>
      <c r="C16" s="17" t="s">
        <v>12</v>
      </c>
      <c r="D16" s="17" t="s">
        <v>23</v>
      </c>
      <c r="E16" s="18">
        <v>65.55</v>
      </c>
      <c r="F16" s="19">
        <v>95</v>
      </c>
      <c r="G16" s="20">
        <v>90</v>
      </c>
    </row>
    <row r="17" spans="2:7" x14ac:dyDescent="0.25">
      <c r="B17" s="11">
        <v>40080229</v>
      </c>
      <c r="C17" s="12" t="s">
        <v>13</v>
      </c>
      <c r="D17" s="12" t="s">
        <v>23</v>
      </c>
      <c r="E17" s="13">
        <v>67.28</v>
      </c>
      <c r="F17" s="14">
        <v>100</v>
      </c>
      <c r="G17" s="15">
        <v>95</v>
      </c>
    </row>
    <row r="18" spans="2:7" x14ac:dyDescent="0.25">
      <c r="B18" s="16">
        <v>40080205</v>
      </c>
      <c r="C18" s="17" t="s">
        <v>14</v>
      </c>
      <c r="D18" s="17" t="s">
        <v>23</v>
      </c>
      <c r="E18" s="18">
        <v>71.88</v>
      </c>
      <c r="F18" s="19">
        <v>105</v>
      </c>
      <c r="G18" s="20">
        <v>100</v>
      </c>
    </row>
    <row r="19" spans="2:7" x14ac:dyDescent="0.25">
      <c r="B19" s="11">
        <v>40080232</v>
      </c>
      <c r="C19" s="12" t="s">
        <v>15</v>
      </c>
      <c r="D19" s="12" t="s">
        <v>23</v>
      </c>
      <c r="E19" s="13">
        <v>79.349999999999994</v>
      </c>
      <c r="F19" s="14">
        <v>115</v>
      </c>
      <c r="G19" s="15">
        <v>110</v>
      </c>
    </row>
    <row r="20" spans="2:7" x14ac:dyDescent="0.25">
      <c r="B20" s="16"/>
      <c r="C20" s="17"/>
      <c r="D20" s="17"/>
      <c r="E20" s="18"/>
      <c r="F20" s="19"/>
      <c r="G20" s="20"/>
    </row>
    <row r="21" spans="2:7" x14ac:dyDescent="0.25">
      <c r="B21" s="21"/>
      <c r="C21" s="6" t="s">
        <v>32</v>
      </c>
      <c r="D21" s="6"/>
      <c r="E21" s="22"/>
      <c r="F21" s="23"/>
      <c r="G21" s="24"/>
    </row>
    <row r="22" spans="2:7" x14ac:dyDescent="0.25">
      <c r="B22" s="11">
        <v>525543</v>
      </c>
      <c r="C22" s="12" t="s">
        <v>33</v>
      </c>
      <c r="D22" s="12" t="s">
        <v>23</v>
      </c>
      <c r="E22" s="13">
        <v>29.212874999999993</v>
      </c>
      <c r="F22" s="14"/>
      <c r="G22" s="15"/>
    </row>
    <row r="23" spans="2:7" x14ac:dyDescent="0.25">
      <c r="B23" s="16">
        <v>993808</v>
      </c>
      <c r="C23" s="17" t="s">
        <v>34</v>
      </c>
      <c r="D23" s="17" t="s">
        <v>23</v>
      </c>
      <c r="E23" s="18">
        <v>31.472624999999997</v>
      </c>
      <c r="F23" s="19"/>
      <c r="G23" s="20"/>
    </row>
    <row r="24" spans="2:7" x14ac:dyDescent="0.25">
      <c r="B24" s="11">
        <v>226684</v>
      </c>
      <c r="C24" s="12" t="s">
        <v>35</v>
      </c>
      <c r="D24" s="12" t="s">
        <v>23</v>
      </c>
      <c r="E24" s="13">
        <v>58.606875000000002</v>
      </c>
      <c r="F24" s="14">
        <v>83</v>
      </c>
      <c r="G24" s="15">
        <v>79</v>
      </c>
    </row>
    <row r="25" spans="2:7" x14ac:dyDescent="0.25">
      <c r="B25" s="16">
        <v>179974</v>
      </c>
      <c r="C25" s="17" t="s">
        <v>36</v>
      </c>
      <c r="D25" s="17" t="s">
        <v>23</v>
      </c>
      <c r="E25" s="18">
        <v>51.085874999999994</v>
      </c>
      <c r="F25" s="19">
        <v>75</v>
      </c>
      <c r="G25" s="20">
        <v>70</v>
      </c>
    </row>
    <row r="26" spans="2:7" x14ac:dyDescent="0.25">
      <c r="B26" s="11">
        <v>582768</v>
      </c>
      <c r="C26" s="12" t="s">
        <v>37</v>
      </c>
      <c r="D26" s="12" t="s">
        <v>23</v>
      </c>
      <c r="E26" s="13">
        <v>54.104624999999984</v>
      </c>
      <c r="F26" s="14">
        <v>80</v>
      </c>
      <c r="G26" s="15">
        <v>73</v>
      </c>
    </row>
    <row r="27" spans="2:7" x14ac:dyDescent="0.25">
      <c r="B27" s="16">
        <v>727866</v>
      </c>
      <c r="C27" s="17" t="s">
        <v>38</v>
      </c>
      <c r="D27" s="17" t="s">
        <v>23</v>
      </c>
      <c r="E27" s="18">
        <v>51.103124999999991</v>
      </c>
      <c r="F27" s="19"/>
      <c r="G27" s="20"/>
    </row>
    <row r="28" spans="2:7" x14ac:dyDescent="0.25">
      <c r="B28" s="11">
        <v>610808</v>
      </c>
      <c r="C28" s="12" t="s">
        <v>39</v>
      </c>
      <c r="D28" s="12" t="s">
        <v>23</v>
      </c>
      <c r="E28" s="13">
        <v>33.577124999999995</v>
      </c>
      <c r="F28" s="14"/>
      <c r="G28" s="15"/>
    </row>
    <row r="29" spans="2:7" x14ac:dyDescent="0.25">
      <c r="B29" s="16">
        <v>607637</v>
      </c>
      <c r="C29" s="17" t="s">
        <v>40</v>
      </c>
      <c r="D29" s="17" t="s">
        <v>23</v>
      </c>
      <c r="E29" s="18">
        <v>38.018999999999991</v>
      </c>
      <c r="F29" s="19"/>
      <c r="G29" s="20"/>
    </row>
    <row r="30" spans="2:7" x14ac:dyDescent="0.25">
      <c r="B30" s="11">
        <v>678115</v>
      </c>
      <c r="C30" s="12" t="s">
        <v>41</v>
      </c>
      <c r="D30" s="12" t="s">
        <v>23</v>
      </c>
      <c r="E30" s="13">
        <v>46.083374999999997</v>
      </c>
      <c r="F30" s="14"/>
      <c r="G30" s="15"/>
    </row>
    <row r="31" spans="2:7" x14ac:dyDescent="0.25">
      <c r="B31" s="16">
        <v>920541</v>
      </c>
      <c r="C31" s="17" t="s">
        <v>42</v>
      </c>
      <c r="D31" s="17" t="s">
        <v>23</v>
      </c>
      <c r="E31" s="18">
        <v>61.349624999999996</v>
      </c>
      <c r="F31" s="19">
        <v>87</v>
      </c>
      <c r="G31" s="20">
        <v>82</v>
      </c>
    </row>
    <row r="32" spans="2:7" x14ac:dyDescent="0.25">
      <c r="B32" s="11">
        <v>266397</v>
      </c>
      <c r="C32" s="12" t="s">
        <v>43</v>
      </c>
      <c r="D32" s="12" t="s">
        <v>23</v>
      </c>
      <c r="E32" s="13">
        <v>65.601749999999996</v>
      </c>
      <c r="F32" s="14">
        <v>93</v>
      </c>
      <c r="G32" s="15">
        <v>88</v>
      </c>
    </row>
    <row r="33" spans="2:7" x14ac:dyDescent="0.25">
      <c r="B33" s="16">
        <v>188858</v>
      </c>
      <c r="C33" s="17" t="s">
        <v>44</v>
      </c>
      <c r="D33" s="17" t="s">
        <v>23</v>
      </c>
      <c r="E33" s="18">
        <v>59.452125000000009</v>
      </c>
      <c r="F33" s="19">
        <v>85</v>
      </c>
      <c r="G33" s="20">
        <v>80</v>
      </c>
    </row>
    <row r="34" spans="2:7" x14ac:dyDescent="0.25">
      <c r="B34" s="11">
        <v>546194</v>
      </c>
      <c r="C34" s="12" t="s">
        <v>45</v>
      </c>
      <c r="D34" s="12" t="s">
        <v>23</v>
      </c>
      <c r="E34" s="13">
        <v>77.93549999999999</v>
      </c>
      <c r="F34" s="14">
        <v>110</v>
      </c>
      <c r="G34" s="15">
        <v>105</v>
      </c>
    </row>
    <row r="35" spans="2:7" x14ac:dyDescent="0.25">
      <c r="B35" s="16"/>
      <c r="C35" s="17"/>
      <c r="D35" s="17"/>
      <c r="E35" s="18"/>
      <c r="F35" s="19"/>
      <c r="G35" s="20"/>
    </row>
    <row r="36" spans="2:7" x14ac:dyDescent="0.25">
      <c r="B36" s="21"/>
      <c r="C36" s="6" t="s">
        <v>91</v>
      </c>
      <c r="D36" s="6"/>
      <c r="E36" s="22"/>
      <c r="F36" s="23"/>
      <c r="G36" s="24"/>
    </row>
    <row r="37" spans="2:7" x14ac:dyDescent="0.25">
      <c r="B37" s="16">
        <v>307335</v>
      </c>
      <c r="C37" s="17" t="s">
        <v>92</v>
      </c>
      <c r="D37" s="17" t="s">
        <v>23</v>
      </c>
      <c r="E37" s="18">
        <v>64.445999999999998</v>
      </c>
      <c r="F37" s="19">
        <v>85</v>
      </c>
      <c r="G37" s="20">
        <v>81</v>
      </c>
    </row>
    <row r="38" spans="2:7" x14ac:dyDescent="0.25">
      <c r="B38" s="11">
        <v>328365</v>
      </c>
      <c r="C38" s="12" t="s">
        <v>93</v>
      </c>
      <c r="D38" s="12" t="s">
        <v>23</v>
      </c>
      <c r="E38" s="13">
        <v>66.06</v>
      </c>
      <c r="F38" s="14">
        <v>85</v>
      </c>
      <c r="G38" s="15">
        <v>83</v>
      </c>
    </row>
    <row r="39" spans="2:7" x14ac:dyDescent="0.25">
      <c r="B39" s="16">
        <v>307343</v>
      </c>
      <c r="C39" s="17" t="s">
        <v>94</v>
      </c>
      <c r="D39" s="17" t="s">
        <v>23</v>
      </c>
      <c r="E39" s="18">
        <v>70.566156250000006</v>
      </c>
      <c r="F39" s="19">
        <v>95</v>
      </c>
      <c r="G39" s="20">
        <v>89</v>
      </c>
    </row>
    <row r="40" spans="2:7" x14ac:dyDescent="0.25">
      <c r="B40" s="11">
        <v>307353</v>
      </c>
      <c r="C40" s="12" t="s">
        <v>95</v>
      </c>
      <c r="D40" s="12" t="s">
        <v>23</v>
      </c>
      <c r="E40" s="13">
        <v>85.374936250000005</v>
      </c>
      <c r="F40" s="14">
        <v>117</v>
      </c>
      <c r="G40" s="15">
        <v>107</v>
      </c>
    </row>
    <row r="41" spans="2:7" x14ac:dyDescent="0.25">
      <c r="B41" s="16">
        <v>307355</v>
      </c>
      <c r="C41" s="17" t="s">
        <v>96</v>
      </c>
      <c r="D41" s="17" t="s">
        <v>23</v>
      </c>
      <c r="E41" s="18">
        <v>83.949999999999989</v>
      </c>
      <c r="F41" s="19">
        <v>101</v>
      </c>
      <c r="G41" s="20">
        <v>105</v>
      </c>
    </row>
    <row r="42" spans="2:7" x14ac:dyDescent="0.25">
      <c r="B42" s="11" t="s">
        <v>99</v>
      </c>
      <c r="C42" s="12" t="s">
        <v>97</v>
      </c>
      <c r="D42" s="12" t="s">
        <v>23</v>
      </c>
      <c r="E42" s="13">
        <v>93.425999999999988</v>
      </c>
      <c r="F42" s="14">
        <v>125</v>
      </c>
      <c r="G42" s="15">
        <v>117</v>
      </c>
    </row>
    <row r="43" spans="2:7" x14ac:dyDescent="0.25">
      <c r="B43" s="16">
        <v>307361</v>
      </c>
      <c r="C43" s="17" t="s">
        <v>98</v>
      </c>
      <c r="D43" s="17" t="s">
        <v>23</v>
      </c>
      <c r="E43" s="18">
        <v>99.014999999999986</v>
      </c>
      <c r="F43" s="19">
        <v>132</v>
      </c>
      <c r="G43" s="20">
        <v>125</v>
      </c>
    </row>
    <row r="44" spans="2:7" x14ac:dyDescent="0.25">
      <c r="B44" s="21"/>
      <c r="C44" s="6" t="s">
        <v>142</v>
      </c>
      <c r="D44" s="6"/>
      <c r="E44" s="22"/>
      <c r="F44" s="23"/>
      <c r="G44" s="24"/>
    </row>
    <row r="45" spans="2:7" x14ac:dyDescent="0.25">
      <c r="B45" s="11"/>
      <c r="C45" s="12" t="s">
        <v>158</v>
      </c>
      <c r="D45" s="12" t="s">
        <v>24</v>
      </c>
      <c r="E45" s="13">
        <v>56.47</v>
      </c>
      <c r="F45" s="14">
        <v>80</v>
      </c>
      <c r="G45" s="15">
        <v>76</v>
      </c>
    </row>
    <row r="46" spans="2:7" x14ac:dyDescent="0.25">
      <c r="B46" s="16">
        <v>2404280000</v>
      </c>
      <c r="C46" s="17" t="s">
        <v>143</v>
      </c>
      <c r="D46" s="17" t="s">
        <v>24</v>
      </c>
      <c r="E46" s="18">
        <v>60.99</v>
      </c>
      <c r="F46" s="19">
        <v>90</v>
      </c>
      <c r="G46" s="20">
        <v>82</v>
      </c>
    </row>
    <row r="47" spans="2:7" x14ac:dyDescent="0.25">
      <c r="B47" s="11">
        <v>2404350000</v>
      </c>
      <c r="C47" s="12" t="s">
        <v>144</v>
      </c>
      <c r="D47" s="12" t="s">
        <v>24</v>
      </c>
      <c r="E47" s="13">
        <v>76.98</v>
      </c>
      <c r="F47" s="14">
        <v>110</v>
      </c>
      <c r="G47" s="15">
        <v>105</v>
      </c>
    </row>
    <row r="48" spans="2:7" x14ac:dyDescent="0.25">
      <c r="B48" s="16">
        <v>2404330000</v>
      </c>
      <c r="C48" s="17" t="s">
        <v>145</v>
      </c>
      <c r="D48" s="17" t="s">
        <v>24</v>
      </c>
      <c r="E48" s="18">
        <v>85.68</v>
      </c>
      <c r="F48" s="19">
        <v>120</v>
      </c>
      <c r="G48" s="20">
        <v>115</v>
      </c>
    </row>
    <row r="49" spans="2:7" x14ac:dyDescent="0.25">
      <c r="B49" s="11">
        <v>2405840000</v>
      </c>
      <c r="C49" s="12" t="s">
        <v>146</v>
      </c>
      <c r="D49" s="12" t="s">
        <v>24</v>
      </c>
      <c r="E49" s="13">
        <v>105</v>
      </c>
      <c r="F49" s="14">
        <v>150</v>
      </c>
      <c r="G49" s="15">
        <v>140</v>
      </c>
    </row>
    <row r="50" spans="2:7" x14ac:dyDescent="0.25">
      <c r="B50" s="21"/>
      <c r="C50" s="6" t="s">
        <v>367</v>
      </c>
      <c r="D50" s="6"/>
      <c r="E50" s="22"/>
      <c r="F50" s="23"/>
      <c r="G50" s="24"/>
    </row>
    <row r="51" spans="2:7" x14ac:dyDescent="0.25">
      <c r="B51" s="11" t="s">
        <v>374</v>
      </c>
      <c r="C51" s="12" t="s">
        <v>387</v>
      </c>
      <c r="D51" s="12" t="s">
        <v>336</v>
      </c>
      <c r="E51" s="13">
        <v>52.27</v>
      </c>
      <c r="F51" s="14">
        <f>Tabla1[[#This Row],[EFECTIVO]]*1.06</f>
        <v>73.882000000000005</v>
      </c>
      <c r="G51" s="15">
        <v>69.7</v>
      </c>
    </row>
    <row r="52" spans="2:7" x14ac:dyDescent="0.25">
      <c r="B52" s="16" t="s">
        <v>375</v>
      </c>
      <c r="C52" s="17" t="s">
        <v>388</v>
      </c>
      <c r="D52" s="17" t="s">
        <v>336</v>
      </c>
      <c r="E52" s="18">
        <v>55.5</v>
      </c>
      <c r="F52" s="19">
        <f>Tabla1[[#This Row],[EFECTIVO]]*1.06</f>
        <v>78.44</v>
      </c>
      <c r="G52" s="20">
        <v>74</v>
      </c>
    </row>
    <row r="53" spans="2:7" x14ac:dyDescent="0.25">
      <c r="B53" s="11" t="s">
        <v>376</v>
      </c>
      <c r="C53" s="12" t="s">
        <v>389</v>
      </c>
      <c r="D53" s="12" t="s">
        <v>336</v>
      </c>
      <c r="E53" s="13">
        <v>63.75</v>
      </c>
      <c r="F53" s="14">
        <f>Tabla1[[#This Row],[EFECTIVO]]*1.06</f>
        <v>90.100000000000009</v>
      </c>
      <c r="G53" s="15">
        <v>85</v>
      </c>
    </row>
    <row r="54" spans="2:7" x14ac:dyDescent="0.25">
      <c r="B54" s="16" t="s">
        <v>377</v>
      </c>
      <c r="C54" s="17" t="s">
        <v>390</v>
      </c>
      <c r="D54" s="17" t="s">
        <v>336</v>
      </c>
      <c r="E54" s="18">
        <v>62.44</v>
      </c>
      <c r="F54" s="19">
        <f>Tabla1[[#This Row],[EFECTIVO]]*1.06</f>
        <v>88.255600000000015</v>
      </c>
      <c r="G54" s="20">
        <v>83.26</v>
      </c>
    </row>
    <row r="55" spans="2:7" x14ac:dyDescent="0.25">
      <c r="B55" s="11" t="s">
        <v>378</v>
      </c>
      <c r="C55" s="12" t="s">
        <v>391</v>
      </c>
      <c r="D55" s="12" t="s">
        <v>336</v>
      </c>
      <c r="E55" s="13">
        <v>66.08</v>
      </c>
      <c r="F55" s="14">
        <f>Tabla1[[#This Row],[EFECTIVO]]*1.06</f>
        <v>93.396600000000007</v>
      </c>
      <c r="G55" s="15">
        <v>88.11</v>
      </c>
    </row>
    <row r="56" spans="2:7" x14ac:dyDescent="0.25">
      <c r="B56" s="16" t="s">
        <v>379</v>
      </c>
      <c r="C56" s="17" t="s">
        <v>392</v>
      </c>
      <c r="D56" s="17" t="s">
        <v>336</v>
      </c>
      <c r="E56" s="18">
        <v>64.5</v>
      </c>
      <c r="F56" s="19">
        <f>Tabla1[[#This Row],[EFECTIVO]]*1.06</f>
        <v>91.160000000000011</v>
      </c>
      <c r="G56" s="20">
        <v>86</v>
      </c>
    </row>
    <row r="57" spans="2:7" x14ac:dyDescent="0.25">
      <c r="B57" s="11" t="s">
        <v>380</v>
      </c>
      <c r="C57" s="12" t="s">
        <v>393</v>
      </c>
      <c r="D57" s="12" t="s">
        <v>336</v>
      </c>
      <c r="E57" s="13">
        <v>71.010000000000005</v>
      </c>
      <c r="F57" s="14">
        <f>Tabla1[[#This Row],[EFECTIVO]]*1.06</f>
        <v>100.36080000000001</v>
      </c>
      <c r="G57" s="15">
        <v>94.68</v>
      </c>
    </row>
    <row r="58" spans="2:7" x14ac:dyDescent="0.25">
      <c r="B58" s="16" t="s">
        <v>381</v>
      </c>
      <c r="C58" s="17" t="s">
        <v>394</v>
      </c>
      <c r="D58" s="17" t="s">
        <v>336</v>
      </c>
      <c r="E58" s="18">
        <v>76.92</v>
      </c>
      <c r="F58" s="19">
        <f>Tabla1[[#This Row],[EFECTIVO]]*1.06</f>
        <v>108.71360000000001</v>
      </c>
      <c r="G58" s="20">
        <v>102.56</v>
      </c>
    </row>
    <row r="59" spans="2:7" x14ac:dyDescent="0.25">
      <c r="B59" s="11" t="s">
        <v>382</v>
      </c>
      <c r="C59" s="12" t="s">
        <v>395</v>
      </c>
      <c r="D59" s="12" t="s">
        <v>336</v>
      </c>
      <c r="E59" s="13">
        <v>78.75</v>
      </c>
      <c r="F59" s="14">
        <f>Tabla1[[#This Row],[EFECTIVO]]*1.06</f>
        <v>111.30000000000001</v>
      </c>
      <c r="G59" s="15">
        <v>105</v>
      </c>
    </row>
    <row r="60" spans="2:7" x14ac:dyDescent="0.25">
      <c r="B60" s="11"/>
      <c r="C60" s="12"/>
      <c r="D60" s="12"/>
      <c r="E60" s="13"/>
      <c r="F60" s="14"/>
      <c r="G60" s="15"/>
    </row>
    <row r="61" spans="2:7" x14ac:dyDescent="0.25">
      <c r="B61" s="16"/>
      <c r="C61" s="17"/>
      <c r="D61" s="17"/>
      <c r="E61" s="18"/>
      <c r="F61" s="19"/>
      <c r="G61" s="20"/>
    </row>
    <row r="62" spans="2:7" x14ac:dyDescent="0.25">
      <c r="B62" s="21"/>
      <c r="C62" s="6" t="s">
        <v>81</v>
      </c>
      <c r="D62" s="6"/>
      <c r="E62" s="22"/>
      <c r="F62" s="23"/>
      <c r="G62" s="24"/>
    </row>
    <row r="63" spans="2:7" x14ac:dyDescent="0.25">
      <c r="B63" s="11">
        <v>40050199</v>
      </c>
      <c r="C63" s="12" t="s">
        <v>82</v>
      </c>
      <c r="D63" s="12" t="s">
        <v>23</v>
      </c>
      <c r="E63" s="13">
        <v>69.58</v>
      </c>
      <c r="F63" s="14">
        <v>92</v>
      </c>
      <c r="G63" s="15">
        <v>88</v>
      </c>
    </row>
    <row r="64" spans="2:7" x14ac:dyDescent="0.25">
      <c r="B64" s="16">
        <v>40050354</v>
      </c>
      <c r="C64" s="17" t="s">
        <v>83</v>
      </c>
      <c r="D64" s="17" t="s">
        <v>23</v>
      </c>
      <c r="E64" s="18">
        <v>66.7</v>
      </c>
      <c r="F64" s="19">
        <v>94</v>
      </c>
      <c r="G64" s="20">
        <v>90</v>
      </c>
    </row>
    <row r="65" spans="2:7" x14ac:dyDescent="0.25">
      <c r="B65" s="11">
        <v>40050045</v>
      </c>
      <c r="C65" s="12" t="s">
        <v>84</v>
      </c>
      <c r="D65" s="12" t="s">
        <v>23</v>
      </c>
      <c r="E65" s="13">
        <v>69</v>
      </c>
      <c r="F65" s="14">
        <v>95</v>
      </c>
      <c r="G65" s="15">
        <v>91</v>
      </c>
    </row>
    <row r="66" spans="2:7" x14ac:dyDescent="0.25">
      <c r="B66" s="16">
        <v>40050302</v>
      </c>
      <c r="C66" s="17" t="s">
        <v>85</v>
      </c>
      <c r="D66" s="17" t="s">
        <v>23</v>
      </c>
      <c r="E66" s="18">
        <v>92.58</v>
      </c>
      <c r="F66" s="19"/>
      <c r="G66" s="20"/>
    </row>
    <row r="67" spans="2:7" x14ac:dyDescent="0.25">
      <c r="B67" s="11">
        <v>40050222</v>
      </c>
      <c r="C67" s="12" t="s">
        <v>86</v>
      </c>
      <c r="D67" s="12" t="s">
        <v>23</v>
      </c>
      <c r="E67" s="13">
        <v>83.95</v>
      </c>
      <c r="F67" s="14"/>
      <c r="G67" s="15"/>
    </row>
    <row r="68" spans="2:7" x14ac:dyDescent="0.25">
      <c r="B68" s="16">
        <v>40050027</v>
      </c>
      <c r="C68" s="17" t="s">
        <v>87</v>
      </c>
      <c r="D68" s="17" t="s">
        <v>23</v>
      </c>
      <c r="E68" s="18">
        <v>77.05</v>
      </c>
      <c r="F68" s="19">
        <v>110</v>
      </c>
      <c r="G68" s="20">
        <v>100</v>
      </c>
    </row>
    <row r="69" spans="2:7" x14ac:dyDescent="0.25">
      <c r="B69" s="11">
        <v>40050359</v>
      </c>
      <c r="C69" s="12" t="s">
        <v>88</v>
      </c>
      <c r="D69" s="12" t="s">
        <v>23</v>
      </c>
      <c r="E69" s="13">
        <v>89.13</v>
      </c>
      <c r="F69" s="14"/>
      <c r="G69" s="15"/>
    </row>
    <row r="70" spans="2:7" x14ac:dyDescent="0.25">
      <c r="B70" s="16">
        <v>40050066</v>
      </c>
      <c r="C70" s="17" t="s">
        <v>89</v>
      </c>
      <c r="D70" s="17" t="s">
        <v>23</v>
      </c>
      <c r="E70" s="18">
        <v>81.650000000000006</v>
      </c>
      <c r="F70" s="19">
        <v>120</v>
      </c>
      <c r="G70" s="20">
        <v>115</v>
      </c>
    </row>
    <row r="71" spans="2:7" x14ac:dyDescent="0.25">
      <c r="B71" s="11">
        <v>40050224</v>
      </c>
      <c r="C71" s="12" t="s">
        <v>90</v>
      </c>
      <c r="D71" s="12" t="s">
        <v>23</v>
      </c>
      <c r="E71" s="13">
        <v>101.2</v>
      </c>
      <c r="F71" s="14">
        <v>140</v>
      </c>
      <c r="G71" s="15">
        <v>135</v>
      </c>
    </row>
    <row r="72" spans="2:7" x14ac:dyDescent="0.25">
      <c r="B72" s="16"/>
      <c r="C72" s="17"/>
      <c r="D72" s="17"/>
      <c r="E72" s="18"/>
      <c r="F72" s="19"/>
      <c r="G72" s="20"/>
    </row>
    <row r="73" spans="2:7" x14ac:dyDescent="0.25">
      <c r="B73" s="21"/>
      <c r="C73" s="6" t="s">
        <v>100</v>
      </c>
      <c r="D73" s="6"/>
      <c r="E73" s="22"/>
      <c r="F73" s="23"/>
      <c r="G73" s="24"/>
    </row>
    <row r="74" spans="2:7" x14ac:dyDescent="0.25">
      <c r="B74" s="11">
        <v>350289</v>
      </c>
      <c r="C74" s="12" t="s">
        <v>101</v>
      </c>
      <c r="D74" s="12" t="s">
        <v>170</v>
      </c>
      <c r="E74" s="13">
        <v>79.72</v>
      </c>
      <c r="F74" s="14">
        <v>106</v>
      </c>
      <c r="G74" s="15">
        <v>100</v>
      </c>
    </row>
    <row r="75" spans="2:7" x14ac:dyDescent="0.25">
      <c r="B75" s="16">
        <v>350290</v>
      </c>
      <c r="C75" s="17" t="s">
        <v>102</v>
      </c>
      <c r="D75" s="17" t="s">
        <v>170</v>
      </c>
      <c r="E75" s="18">
        <v>87.11</v>
      </c>
      <c r="F75" s="19">
        <v>116</v>
      </c>
      <c r="G75" s="20">
        <v>109</v>
      </c>
    </row>
    <row r="76" spans="2:7" x14ac:dyDescent="0.25">
      <c r="B76" s="11">
        <v>350291</v>
      </c>
      <c r="C76" s="12" t="s">
        <v>103</v>
      </c>
      <c r="D76" s="12" t="s">
        <v>170</v>
      </c>
      <c r="E76" s="13">
        <v>95.89</v>
      </c>
      <c r="F76" s="14">
        <v>132</v>
      </c>
      <c r="G76" s="15">
        <v>120</v>
      </c>
    </row>
    <row r="77" spans="2:7" x14ac:dyDescent="0.25">
      <c r="B77" s="16">
        <v>350292</v>
      </c>
      <c r="C77" s="17" t="s">
        <v>104</v>
      </c>
      <c r="D77" s="17" t="s">
        <v>170</v>
      </c>
      <c r="E77" s="18">
        <v>104.65</v>
      </c>
      <c r="F77" s="19">
        <v>131</v>
      </c>
      <c r="G77" s="20">
        <v>139</v>
      </c>
    </row>
    <row r="78" spans="2:7" x14ac:dyDescent="0.25">
      <c r="B78" s="11">
        <v>350293</v>
      </c>
      <c r="C78" s="12" t="s">
        <v>105</v>
      </c>
      <c r="D78" s="12" t="s">
        <v>170</v>
      </c>
      <c r="E78" s="13">
        <v>116.44</v>
      </c>
      <c r="F78" s="14">
        <v>155</v>
      </c>
      <c r="G78" s="15">
        <v>146</v>
      </c>
    </row>
    <row r="79" spans="2:7" x14ac:dyDescent="0.25">
      <c r="B79" s="16">
        <v>351774</v>
      </c>
      <c r="C79" s="17" t="s">
        <v>106</v>
      </c>
      <c r="D79" s="17" t="s">
        <v>170</v>
      </c>
      <c r="E79" s="18">
        <v>119.45</v>
      </c>
      <c r="F79" s="19">
        <v>159</v>
      </c>
      <c r="G79" s="20">
        <v>150</v>
      </c>
    </row>
    <row r="80" spans="2:7" x14ac:dyDescent="0.25">
      <c r="B80" s="16"/>
      <c r="C80" s="17"/>
      <c r="D80" s="17"/>
      <c r="E80" s="18"/>
      <c r="F80" s="19"/>
      <c r="G80" s="20"/>
    </row>
    <row r="81" spans="2:7" x14ac:dyDescent="0.25">
      <c r="B81" s="21"/>
      <c r="C81" s="6" t="s">
        <v>118</v>
      </c>
      <c r="D81" s="6"/>
      <c r="E81" s="22"/>
      <c r="F81" s="23"/>
      <c r="G81" s="24"/>
    </row>
    <row r="82" spans="2:7" x14ac:dyDescent="0.25">
      <c r="B82" s="16">
        <v>40050323</v>
      </c>
      <c r="C82" s="17" t="s">
        <v>124</v>
      </c>
      <c r="D82" s="17" t="s">
        <v>170</v>
      </c>
      <c r="E82" s="18">
        <v>66.13</v>
      </c>
      <c r="F82" s="19">
        <v>95</v>
      </c>
      <c r="G82" s="20">
        <v>90</v>
      </c>
    </row>
    <row r="83" spans="2:7" x14ac:dyDescent="0.25">
      <c r="B83" s="11">
        <v>40050324</v>
      </c>
      <c r="C83" s="12" t="s">
        <v>125</v>
      </c>
      <c r="D83" s="12" t="s">
        <v>170</v>
      </c>
      <c r="E83" s="13">
        <v>73.77</v>
      </c>
      <c r="F83" s="14">
        <v>101</v>
      </c>
      <c r="G83" s="15">
        <v>95</v>
      </c>
    </row>
    <row r="84" spans="2:7" x14ac:dyDescent="0.25">
      <c r="B84" s="16">
        <v>40050325</v>
      </c>
      <c r="C84" s="17" t="s">
        <v>126</v>
      </c>
      <c r="D84" s="17" t="s">
        <v>170</v>
      </c>
      <c r="E84" s="18">
        <v>95.68</v>
      </c>
      <c r="F84" s="19">
        <v>124</v>
      </c>
      <c r="G84" s="20">
        <v>118</v>
      </c>
    </row>
    <row r="85" spans="2:7" x14ac:dyDescent="0.25">
      <c r="B85" s="11">
        <v>40050326</v>
      </c>
      <c r="C85" s="12" t="s">
        <v>127</v>
      </c>
      <c r="D85" s="12" t="s">
        <v>170</v>
      </c>
      <c r="E85" s="13">
        <v>97.39</v>
      </c>
      <c r="F85" s="14">
        <v>133</v>
      </c>
      <c r="G85" s="15">
        <v>125</v>
      </c>
    </row>
    <row r="86" spans="2:7" x14ac:dyDescent="0.25">
      <c r="B86" s="16">
        <v>40050347</v>
      </c>
      <c r="C86" s="17" t="s">
        <v>128</v>
      </c>
      <c r="D86" s="17" t="s">
        <v>170</v>
      </c>
      <c r="E86" s="18">
        <v>107.93</v>
      </c>
      <c r="F86" s="19">
        <v>150</v>
      </c>
      <c r="G86" s="20">
        <v>143</v>
      </c>
    </row>
    <row r="87" spans="2:7" x14ac:dyDescent="0.25">
      <c r="B87" s="11"/>
      <c r="C87" s="12"/>
      <c r="D87" s="12"/>
      <c r="E87" s="13"/>
      <c r="F87" s="14"/>
      <c r="G87" s="15"/>
    </row>
    <row r="88" spans="2:7" x14ac:dyDescent="0.25">
      <c r="B88" s="16"/>
      <c r="C88" s="17"/>
      <c r="D88" s="17"/>
      <c r="E88" s="18"/>
      <c r="F88" s="19"/>
      <c r="G88" s="20"/>
    </row>
    <row r="89" spans="2:7" x14ac:dyDescent="0.25">
      <c r="B89" s="16"/>
      <c r="C89" s="17"/>
      <c r="D89" s="17"/>
      <c r="E89" s="18"/>
      <c r="F89" s="19"/>
      <c r="G89" s="20"/>
    </row>
    <row r="90" spans="2:7" x14ac:dyDescent="0.25">
      <c r="B90" s="11"/>
      <c r="C90" s="12"/>
      <c r="D90" s="12"/>
      <c r="E90" s="13"/>
      <c r="F90" s="14"/>
      <c r="G90" s="15"/>
    </row>
    <row r="91" spans="2:7" x14ac:dyDescent="0.25">
      <c r="B91" s="21"/>
      <c r="C91" s="6" t="s">
        <v>22</v>
      </c>
      <c r="D91" s="6"/>
      <c r="E91" s="22"/>
      <c r="F91" s="23"/>
      <c r="G91" s="24"/>
    </row>
    <row r="92" spans="2:7" x14ac:dyDescent="0.25">
      <c r="B92" s="16">
        <v>40080257</v>
      </c>
      <c r="C92" s="17" t="s">
        <v>28</v>
      </c>
      <c r="D92" s="17" t="s">
        <v>24</v>
      </c>
      <c r="E92" s="18">
        <v>73.599999999999994</v>
      </c>
      <c r="F92" s="19">
        <v>102</v>
      </c>
      <c r="G92" s="20">
        <v>97</v>
      </c>
    </row>
    <row r="93" spans="2:7" x14ac:dyDescent="0.25">
      <c r="B93" s="11">
        <v>40080269</v>
      </c>
      <c r="C93" s="12" t="s">
        <v>27</v>
      </c>
      <c r="D93" s="12" t="s">
        <v>24</v>
      </c>
      <c r="E93" s="13">
        <v>80.5</v>
      </c>
      <c r="F93" s="14">
        <v>113</v>
      </c>
      <c r="G93" s="15">
        <v>108</v>
      </c>
    </row>
    <row r="94" spans="2:7" x14ac:dyDescent="0.25">
      <c r="B94" s="16">
        <v>40080258</v>
      </c>
      <c r="C94" s="17" t="s">
        <v>26</v>
      </c>
      <c r="D94" s="17" t="s">
        <v>24</v>
      </c>
      <c r="E94" s="18">
        <v>100.05</v>
      </c>
      <c r="F94" s="19">
        <v>138</v>
      </c>
      <c r="G94" s="20">
        <v>132</v>
      </c>
    </row>
    <row r="95" spans="2:7" x14ac:dyDescent="0.25">
      <c r="B95" s="11">
        <v>40080259</v>
      </c>
      <c r="C95" s="12" t="s">
        <v>25</v>
      </c>
      <c r="D95" s="12" t="s">
        <v>24</v>
      </c>
      <c r="E95" s="13">
        <v>102.35</v>
      </c>
      <c r="F95" s="14">
        <v>141</v>
      </c>
      <c r="G95" s="15">
        <v>135</v>
      </c>
    </row>
    <row r="96" spans="2:7" x14ac:dyDescent="0.25">
      <c r="B96" s="16">
        <v>40080260</v>
      </c>
      <c r="C96" s="17" t="s">
        <v>29</v>
      </c>
      <c r="D96" s="17" t="s">
        <v>24</v>
      </c>
      <c r="E96" s="18">
        <v>109.25</v>
      </c>
      <c r="F96" s="19">
        <v>153</v>
      </c>
      <c r="G96" s="20">
        <v>146</v>
      </c>
    </row>
    <row r="97" spans="2:7" x14ac:dyDescent="0.25">
      <c r="B97" s="11">
        <v>40080261</v>
      </c>
      <c r="C97" s="12" t="s">
        <v>30</v>
      </c>
      <c r="D97" s="12" t="s">
        <v>24</v>
      </c>
      <c r="E97" s="13">
        <v>117.3</v>
      </c>
      <c r="F97" s="14">
        <v>165</v>
      </c>
      <c r="G97" s="15">
        <v>158</v>
      </c>
    </row>
    <row r="98" spans="2:7" x14ac:dyDescent="0.25">
      <c r="B98" s="16">
        <v>40080262</v>
      </c>
      <c r="C98" s="17" t="s">
        <v>31</v>
      </c>
      <c r="D98" s="17" t="s">
        <v>24</v>
      </c>
      <c r="E98" s="18">
        <v>124.2</v>
      </c>
      <c r="F98" s="19">
        <v>174</v>
      </c>
      <c r="G98" s="20">
        <v>166</v>
      </c>
    </row>
    <row r="100" spans="2:7" x14ac:dyDescent="0.25">
      <c r="B100" s="21"/>
      <c r="C100" s="6" t="s">
        <v>159</v>
      </c>
      <c r="D100" s="6"/>
      <c r="E100" s="22"/>
      <c r="F100" s="23"/>
      <c r="G100" s="24"/>
    </row>
    <row r="101" spans="2:7" x14ac:dyDescent="0.25">
      <c r="B101" s="11">
        <v>2444220000</v>
      </c>
      <c r="C101" s="12" t="s">
        <v>160</v>
      </c>
      <c r="D101" s="12" t="s">
        <v>24</v>
      </c>
      <c r="E101" s="13">
        <v>99.420374999999993</v>
      </c>
      <c r="F101" s="14">
        <v>141</v>
      </c>
      <c r="G101" s="15">
        <v>132.56049999999999</v>
      </c>
    </row>
    <row r="102" spans="2:7" x14ac:dyDescent="0.25">
      <c r="B102" s="16" t="s">
        <v>166</v>
      </c>
      <c r="C102" s="17" t="s">
        <v>161</v>
      </c>
      <c r="D102" s="17" t="s">
        <v>24</v>
      </c>
      <c r="E102" s="18">
        <v>108.56287499999999</v>
      </c>
      <c r="F102" s="19">
        <v>154</v>
      </c>
      <c r="G102" s="20">
        <v>144.75049999999999</v>
      </c>
    </row>
    <row r="103" spans="2:7" x14ac:dyDescent="0.25">
      <c r="B103" s="11" t="s">
        <v>167</v>
      </c>
      <c r="C103" s="12" t="s">
        <v>162</v>
      </c>
      <c r="D103" s="12" t="s">
        <v>24</v>
      </c>
      <c r="E103" s="13">
        <v>122.85449999999999</v>
      </c>
      <c r="F103" s="14">
        <v>174</v>
      </c>
      <c r="G103" s="15">
        <v>163.80599999999998</v>
      </c>
    </row>
    <row r="104" spans="2:7" x14ac:dyDescent="0.25">
      <c r="B104" s="16" t="s">
        <v>168</v>
      </c>
      <c r="C104" s="17" t="s">
        <v>163</v>
      </c>
      <c r="D104" s="17" t="s">
        <v>24</v>
      </c>
      <c r="E104" s="18">
        <v>110.14987499999999</v>
      </c>
      <c r="F104" s="19">
        <v>156</v>
      </c>
      <c r="G104" s="20">
        <v>146.86649999999997</v>
      </c>
    </row>
    <row r="105" spans="2:7" x14ac:dyDescent="0.25">
      <c r="B105" s="11">
        <v>2441580000</v>
      </c>
      <c r="C105" s="12" t="s">
        <v>164</v>
      </c>
      <c r="D105" s="12" t="s">
        <v>24</v>
      </c>
      <c r="E105" s="13">
        <v>139.233375</v>
      </c>
      <c r="F105" s="14">
        <v>197</v>
      </c>
      <c r="G105" s="15">
        <v>185.64449999999999</v>
      </c>
    </row>
    <row r="106" spans="2:7" x14ac:dyDescent="0.25">
      <c r="B106" s="16">
        <v>2440880000</v>
      </c>
      <c r="C106" s="17" t="s">
        <v>165</v>
      </c>
      <c r="D106" s="17" t="s">
        <v>24</v>
      </c>
      <c r="E106" s="18">
        <v>138.250125</v>
      </c>
      <c r="F106" s="19">
        <v>197</v>
      </c>
      <c r="G106" s="20">
        <v>184.33349999999999</v>
      </c>
    </row>
    <row r="107" spans="2:7" x14ac:dyDescent="0.25">
      <c r="B107" s="11"/>
      <c r="C107" s="12"/>
      <c r="D107" s="12"/>
      <c r="E107" s="13"/>
      <c r="F107" s="14"/>
      <c r="G107" s="15"/>
    </row>
    <row r="108" spans="2:7" x14ac:dyDescent="0.25">
      <c r="B108" s="21"/>
      <c r="C108" s="6" t="s">
        <v>107</v>
      </c>
      <c r="D108" s="6"/>
      <c r="E108" s="22"/>
      <c r="F108" s="23"/>
      <c r="G108" s="24"/>
    </row>
    <row r="109" spans="2:7" x14ac:dyDescent="0.25">
      <c r="B109" s="11">
        <v>310715</v>
      </c>
      <c r="C109" s="12" t="s">
        <v>108</v>
      </c>
      <c r="D109" s="12" t="s">
        <v>24</v>
      </c>
      <c r="E109" s="13">
        <v>110.7704725</v>
      </c>
      <c r="F109" s="14">
        <v>148</v>
      </c>
      <c r="G109" s="15">
        <v>138.46309062500001</v>
      </c>
    </row>
    <row r="110" spans="2:7" x14ac:dyDescent="0.25">
      <c r="B110" s="16">
        <v>326489</v>
      </c>
      <c r="C110" s="17" t="s">
        <v>109</v>
      </c>
      <c r="D110" s="17" t="s">
        <v>24</v>
      </c>
      <c r="E110" s="18">
        <v>123.33749999999999</v>
      </c>
      <c r="F110" s="19">
        <v>166</v>
      </c>
      <c r="G110" s="20">
        <v>156</v>
      </c>
    </row>
    <row r="111" spans="2:7" x14ac:dyDescent="0.25">
      <c r="B111" s="11">
        <v>310747</v>
      </c>
      <c r="C111" s="12" t="s">
        <v>110</v>
      </c>
      <c r="D111" s="12" t="s">
        <v>24</v>
      </c>
      <c r="E111" s="13">
        <v>120.55373071900004</v>
      </c>
      <c r="F111" s="14">
        <v>160</v>
      </c>
      <c r="G111" s="15">
        <v>150.69216339875007</v>
      </c>
    </row>
    <row r="112" spans="2:7" x14ac:dyDescent="0.25">
      <c r="B112" s="16">
        <v>310749</v>
      </c>
      <c r="C112" s="17" t="s">
        <v>111</v>
      </c>
      <c r="D112" s="17" t="s">
        <v>24</v>
      </c>
      <c r="E112" s="18">
        <v>126.23601175</v>
      </c>
      <c r="F112" s="19">
        <v>168</v>
      </c>
      <c r="G112" s="20">
        <v>157.79501468750001</v>
      </c>
    </row>
    <row r="113" spans="2:7" x14ac:dyDescent="0.25">
      <c r="B113" s="11">
        <v>310753</v>
      </c>
      <c r="C113" s="12" t="s">
        <v>112</v>
      </c>
      <c r="D113" s="12" t="s">
        <v>24</v>
      </c>
      <c r="E113" s="13">
        <v>126.23549999999999</v>
      </c>
      <c r="F113" s="14">
        <v>168</v>
      </c>
      <c r="G113" s="15">
        <v>157.794375</v>
      </c>
    </row>
    <row r="114" spans="2:7" x14ac:dyDescent="0.25">
      <c r="B114" s="16">
        <v>310757</v>
      </c>
      <c r="C114" s="17" t="s">
        <v>116</v>
      </c>
      <c r="D114" s="17" t="s">
        <v>24</v>
      </c>
      <c r="E114" s="18">
        <v>138.71299999999999</v>
      </c>
      <c r="F114" s="19">
        <v>186</v>
      </c>
      <c r="G114" s="20">
        <v>173.40124999999998</v>
      </c>
    </row>
    <row r="115" spans="2:7" x14ac:dyDescent="0.25">
      <c r="B115" s="11">
        <v>310755</v>
      </c>
      <c r="C115" s="12" t="s">
        <v>117</v>
      </c>
      <c r="D115" s="12" t="s">
        <v>24</v>
      </c>
      <c r="E115" s="13">
        <v>132.76749999999998</v>
      </c>
      <c r="F115" s="14">
        <v>176</v>
      </c>
      <c r="G115" s="15">
        <v>165.95937499999999</v>
      </c>
    </row>
    <row r="116" spans="2:7" x14ac:dyDescent="0.25">
      <c r="B116" s="16">
        <v>326609</v>
      </c>
      <c r="C116" s="17" t="s">
        <v>116</v>
      </c>
      <c r="D116" s="17" t="s">
        <v>24</v>
      </c>
      <c r="E116" s="18">
        <v>138.71299999999999</v>
      </c>
      <c r="F116" s="19">
        <v>186</v>
      </c>
      <c r="G116" s="20">
        <v>173.39699999999999</v>
      </c>
    </row>
    <row r="117" spans="2:7" x14ac:dyDescent="0.25">
      <c r="B117" s="11">
        <v>310763</v>
      </c>
      <c r="C117" s="12" t="s">
        <v>113</v>
      </c>
      <c r="D117" s="12" t="s">
        <v>24</v>
      </c>
      <c r="E117" s="13">
        <v>143.15200000000002</v>
      </c>
      <c r="F117" s="14">
        <v>190</v>
      </c>
      <c r="G117" s="15">
        <v>178.94000000000003</v>
      </c>
    </row>
    <row r="118" spans="2:7" x14ac:dyDescent="0.25">
      <c r="B118" s="16">
        <v>310765</v>
      </c>
      <c r="C118" s="17" t="s">
        <v>114</v>
      </c>
      <c r="D118" s="17" t="s">
        <v>24</v>
      </c>
      <c r="E118" s="18">
        <v>150.25209999999998</v>
      </c>
      <c r="F118" s="19">
        <v>199</v>
      </c>
      <c r="G118" s="20">
        <v>187.81512499999997</v>
      </c>
    </row>
    <row r="119" spans="2:7" x14ac:dyDescent="0.25">
      <c r="B119" s="11">
        <v>310769</v>
      </c>
      <c r="C119" s="12" t="s">
        <v>115</v>
      </c>
      <c r="D119" s="12" t="s">
        <v>24</v>
      </c>
      <c r="E119" s="13">
        <v>156.24914875000002</v>
      </c>
      <c r="F119" s="14">
        <v>208</v>
      </c>
      <c r="G119" s="15">
        <v>195.31143593749999</v>
      </c>
    </row>
    <row r="120" spans="2:7" x14ac:dyDescent="0.25">
      <c r="B120" s="16"/>
      <c r="C120" s="17"/>
      <c r="D120" s="17"/>
      <c r="E120" s="18"/>
      <c r="F120" s="19"/>
      <c r="G120" s="20"/>
    </row>
    <row r="122" spans="2:7" x14ac:dyDescent="0.25">
      <c r="B122" s="21"/>
      <c r="C122" s="6" t="s">
        <v>147</v>
      </c>
      <c r="D122" s="6"/>
      <c r="E122" s="22"/>
      <c r="F122" s="23"/>
      <c r="G122" s="24"/>
    </row>
    <row r="123" spans="2:7" x14ac:dyDescent="0.25">
      <c r="B123" s="16" t="s">
        <v>153</v>
      </c>
      <c r="C123" s="17" t="s">
        <v>148</v>
      </c>
      <c r="D123" s="17" t="s">
        <v>24</v>
      </c>
      <c r="E123" s="18">
        <v>104.44874999999998</v>
      </c>
      <c r="F123" s="19">
        <v>148</v>
      </c>
      <c r="G123" s="20">
        <v>139.26499999999999</v>
      </c>
    </row>
    <row r="124" spans="2:7" x14ac:dyDescent="0.25">
      <c r="B124" s="11" t="s">
        <v>154</v>
      </c>
      <c r="C124" s="12" t="s">
        <v>149</v>
      </c>
      <c r="D124" s="12" t="s">
        <v>24</v>
      </c>
      <c r="E124" s="13">
        <v>144.03749999999999</v>
      </c>
      <c r="F124" s="14">
        <v>204</v>
      </c>
      <c r="G124" s="15">
        <v>192.04999999999998</v>
      </c>
    </row>
    <row r="125" spans="2:7" x14ac:dyDescent="0.25">
      <c r="B125" s="16" t="s">
        <v>476</v>
      </c>
      <c r="C125" s="17" t="s">
        <v>366</v>
      </c>
      <c r="D125" s="17" t="s">
        <v>24</v>
      </c>
      <c r="E125" s="18">
        <v>138.37</v>
      </c>
      <c r="F125" s="19">
        <v>195</v>
      </c>
      <c r="G125" s="20">
        <v>185</v>
      </c>
    </row>
    <row r="126" spans="2:7" x14ac:dyDescent="0.25">
      <c r="B126" s="11" t="s">
        <v>155</v>
      </c>
      <c r="C126" s="12" t="s">
        <v>150</v>
      </c>
      <c r="D126" s="12" t="s">
        <v>24</v>
      </c>
      <c r="E126" s="13">
        <v>162.02062499999997</v>
      </c>
      <c r="F126" s="14">
        <v>230</v>
      </c>
      <c r="G126" s="15">
        <v>216.02749999999997</v>
      </c>
    </row>
    <row r="127" spans="2:7" x14ac:dyDescent="0.25">
      <c r="B127" s="16" t="s">
        <v>156</v>
      </c>
      <c r="C127" s="17" t="s">
        <v>151</v>
      </c>
      <c r="D127" s="17" t="s">
        <v>24</v>
      </c>
      <c r="E127" s="18">
        <v>191.12999999999997</v>
      </c>
      <c r="F127" s="19">
        <v>270</v>
      </c>
      <c r="G127" s="20">
        <v>254.83999999999997</v>
      </c>
    </row>
    <row r="128" spans="2:7" x14ac:dyDescent="0.25">
      <c r="B128" s="11" t="s">
        <v>157</v>
      </c>
      <c r="C128" s="12" t="s">
        <v>152</v>
      </c>
      <c r="D128" s="12" t="s">
        <v>24</v>
      </c>
      <c r="E128" s="13">
        <v>185.46337499999998</v>
      </c>
      <c r="F128" s="14">
        <v>262</v>
      </c>
      <c r="G128" s="15">
        <v>247.28449999999998</v>
      </c>
    </row>
    <row r="129" spans="2:7" x14ac:dyDescent="0.25">
      <c r="B129" s="16" t="s">
        <v>477</v>
      </c>
      <c r="C129" s="17" t="s">
        <v>478</v>
      </c>
      <c r="D129" s="17" t="s">
        <v>24</v>
      </c>
      <c r="E129" s="18"/>
      <c r="F129" s="19"/>
      <c r="G129" s="20"/>
    </row>
    <row r="131" spans="2:7" x14ac:dyDescent="0.25">
      <c r="B131" s="21"/>
      <c r="C131" s="6" t="s">
        <v>198</v>
      </c>
      <c r="D131" s="6"/>
      <c r="E131" s="22"/>
      <c r="F131" s="23"/>
      <c r="G131" s="24"/>
    </row>
    <row r="132" spans="2:7" x14ac:dyDescent="0.25">
      <c r="B132" s="16">
        <v>40050102</v>
      </c>
      <c r="C132" s="17" t="s">
        <v>199</v>
      </c>
      <c r="D132" s="17" t="s">
        <v>24</v>
      </c>
      <c r="E132" s="18">
        <v>143.75</v>
      </c>
      <c r="F132" s="19">
        <v>210</v>
      </c>
      <c r="G132" s="20">
        <v>105</v>
      </c>
    </row>
    <row r="133" spans="2:7" x14ac:dyDescent="0.25">
      <c r="B133" s="11">
        <v>40050136</v>
      </c>
      <c r="C133" s="12" t="s">
        <v>200</v>
      </c>
      <c r="D133" s="12" t="s">
        <v>24</v>
      </c>
      <c r="E133" s="13">
        <v>149.5</v>
      </c>
      <c r="F133" s="14">
        <v>239</v>
      </c>
      <c r="G133" s="15">
        <v>205</v>
      </c>
    </row>
    <row r="134" spans="2:7" x14ac:dyDescent="0.25">
      <c r="B134" s="16">
        <v>40050103</v>
      </c>
      <c r="C134" s="17" t="s">
        <v>201</v>
      </c>
      <c r="D134" s="17" t="s">
        <v>24</v>
      </c>
      <c r="E134" s="18">
        <v>195.5</v>
      </c>
      <c r="F134" s="19">
        <v>270</v>
      </c>
      <c r="G134" s="20">
        <v>255</v>
      </c>
    </row>
    <row r="135" spans="2:7" x14ac:dyDescent="0.25">
      <c r="B135" s="11"/>
      <c r="C135" s="12"/>
      <c r="D135" s="12"/>
      <c r="E135" s="13"/>
      <c r="F135" s="14"/>
      <c r="G135" s="15"/>
    </row>
    <row r="136" spans="2:7" x14ac:dyDescent="0.25">
      <c r="B136" s="21"/>
      <c r="C136" s="6" t="s">
        <v>202</v>
      </c>
      <c r="D136" s="6"/>
      <c r="E136" s="22"/>
      <c r="F136" s="23"/>
      <c r="G136" s="24"/>
    </row>
    <row r="137" spans="2:7" x14ac:dyDescent="0.25">
      <c r="B137" s="11">
        <v>40050368</v>
      </c>
      <c r="C137" s="12" t="s">
        <v>203</v>
      </c>
      <c r="D137" s="12" t="s">
        <v>24</v>
      </c>
      <c r="E137" s="13">
        <v>207</v>
      </c>
      <c r="F137" s="14">
        <v>305</v>
      </c>
      <c r="G137" s="15">
        <v>265</v>
      </c>
    </row>
    <row r="138" spans="2:7" x14ac:dyDescent="0.25">
      <c r="B138" s="16"/>
      <c r="C138" s="17"/>
      <c r="D138" s="17"/>
      <c r="E138" s="18"/>
      <c r="F138" s="19"/>
      <c r="G138" s="20"/>
    </row>
    <row r="139" spans="2:7" x14ac:dyDescent="0.25">
      <c r="B139" s="21"/>
      <c r="C139" s="6" t="s">
        <v>204</v>
      </c>
      <c r="D139" s="6"/>
      <c r="E139" s="22"/>
      <c r="F139" s="23"/>
      <c r="G139" s="24"/>
    </row>
    <row r="140" spans="2:7" x14ac:dyDescent="0.25">
      <c r="B140" s="16">
        <v>40050293</v>
      </c>
      <c r="C140" s="17" t="s">
        <v>205</v>
      </c>
      <c r="D140" s="17" t="s">
        <v>24</v>
      </c>
      <c r="E140" s="18">
        <v>191.75</v>
      </c>
      <c r="F140" s="19">
        <v>265</v>
      </c>
      <c r="G140" s="20">
        <v>245</v>
      </c>
    </row>
    <row r="142" spans="2:7" x14ac:dyDescent="0.25">
      <c r="B142" s="21"/>
      <c r="C142" s="6" t="s">
        <v>65</v>
      </c>
      <c r="D142" s="6"/>
      <c r="E142" s="22"/>
      <c r="F142" s="23"/>
      <c r="G142" s="24"/>
    </row>
    <row r="143" spans="2:7" x14ac:dyDescent="0.25">
      <c r="B143" s="11">
        <v>61080110</v>
      </c>
      <c r="C143" s="12" t="s">
        <v>66</v>
      </c>
      <c r="D143" s="12" t="s">
        <v>24</v>
      </c>
      <c r="E143" s="13">
        <f>(156.11+0.65)*1.15</f>
        <v>180.274</v>
      </c>
      <c r="F143" s="14">
        <f>Tabla1[[#This Row],[EFECTIVO]]*1.05</f>
        <v>251.34112499999998</v>
      </c>
      <c r="G143" s="15">
        <f>208.15*1.15</f>
        <v>239.37249999999997</v>
      </c>
    </row>
    <row r="144" spans="2:7" x14ac:dyDescent="0.25">
      <c r="B144" s="16">
        <v>61080150</v>
      </c>
      <c r="C144" s="17" t="s">
        <v>67</v>
      </c>
      <c r="D144" s="17" t="s">
        <v>24</v>
      </c>
      <c r="E144" s="18">
        <f>(179.93+0.65)*1.15</f>
        <v>207.667</v>
      </c>
      <c r="F144" s="19">
        <f>Tabla1[[#This Row],[EFECTIVO]]*1.05</f>
        <v>289.67925000000002</v>
      </c>
      <c r="G144" s="20">
        <f>239.9*1.15</f>
        <v>275.88499999999999</v>
      </c>
    </row>
    <row r="145" spans="2:7" x14ac:dyDescent="0.25">
      <c r="B145" s="11">
        <v>61080120</v>
      </c>
      <c r="C145" s="12" t="s">
        <v>481</v>
      </c>
      <c r="D145" s="12" t="s">
        <v>24</v>
      </c>
      <c r="E145" s="13">
        <f>(161.67+0.65)*1.15</f>
        <v>186.66799999999998</v>
      </c>
      <c r="F145" s="14">
        <f>Tabla1[[#This Row],[EFECTIVO]]*1.05</f>
        <v>260.28870000000001</v>
      </c>
      <c r="G145" s="15">
        <f>215.56*1.15</f>
        <v>247.89399999999998</v>
      </c>
    </row>
    <row r="146" spans="2:7" x14ac:dyDescent="0.25">
      <c r="B146" s="16">
        <v>61080190</v>
      </c>
      <c r="C146" s="17" t="s">
        <v>480</v>
      </c>
      <c r="D146" s="17" t="s">
        <v>24</v>
      </c>
      <c r="E146" s="18">
        <f>(199.17+0.65)*1.15</f>
        <v>229.79299999999998</v>
      </c>
      <c r="F146" s="19">
        <f>Tabla1[[#This Row],[EFECTIVO]]*1.05</f>
        <v>320.66370000000001</v>
      </c>
      <c r="G146" s="20">
        <f>265.56*1.15</f>
        <v>305.39400000000001</v>
      </c>
    </row>
    <row r="147" spans="2:7" x14ac:dyDescent="0.25">
      <c r="B147" s="11">
        <v>61080180</v>
      </c>
      <c r="C147" s="12" t="s">
        <v>483</v>
      </c>
      <c r="D147" s="12" t="s">
        <v>24</v>
      </c>
      <c r="E147" s="13">
        <f>(189.32+0.65)*1.15</f>
        <v>218.46549999999999</v>
      </c>
      <c r="F147" s="14">
        <f>Tabla1[[#This Row],[EFECTIVO]]*1.05</f>
        <v>304.79714999999999</v>
      </c>
      <c r="G147" s="15">
        <f>252.42*1.15</f>
        <v>290.28299999999996</v>
      </c>
    </row>
    <row r="148" spans="2:7" x14ac:dyDescent="0.25">
      <c r="B148" s="16">
        <v>61080160</v>
      </c>
      <c r="C148" s="17" t="s">
        <v>482</v>
      </c>
      <c r="D148" s="17" t="s">
        <v>24</v>
      </c>
      <c r="E148" s="18">
        <f>(174.85+0.65)*1.15</f>
        <v>201.82499999999999</v>
      </c>
      <c r="F148" s="19">
        <f>Tabla1[[#This Row],[EFECTIVO]]*1.05</f>
        <v>281.50447500000001</v>
      </c>
      <c r="G148" s="20">
        <f>233.13*1.15</f>
        <v>268.09949999999998</v>
      </c>
    </row>
    <row r="149" spans="2:7" x14ac:dyDescent="0.25">
      <c r="B149" s="11"/>
      <c r="C149" s="12"/>
      <c r="D149" s="12"/>
      <c r="E149" s="13"/>
      <c r="F149" s="14"/>
      <c r="G149" s="15"/>
    </row>
    <row r="150" spans="2:7" x14ac:dyDescent="0.25">
      <c r="B150" s="21"/>
      <c r="C150" s="6" t="s">
        <v>129</v>
      </c>
      <c r="D150" s="6"/>
      <c r="E150" s="22"/>
      <c r="F150" s="23"/>
      <c r="G150" s="24"/>
    </row>
    <row r="151" spans="2:7" x14ac:dyDescent="0.25">
      <c r="B151" s="11">
        <v>40050261</v>
      </c>
      <c r="C151" s="12" t="s">
        <v>130</v>
      </c>
      <c r="D151" s="12" t="s">
        <v>170</v>
      </c>
      <c r="E151" s="13">
        <v>91.87</v>
      </c>
      <c r="F151" s="14">
        <v>120</v>
      </c>
      <c r="G151" s="15">
        <v>114</v>
      </c>
    </row>
    <row r="152" spans="2:7" x14ac:dyDescent="0.25">
      <c r="B152" s="16">
        <v>40050321</v>
      </c>
      <c r="C152" s="17" t="s">
        <v>131</v>
      </c>
      <c r="D152" s="17" t="s">
        <v>170</v>
      </c>
      <c r="E152" s="18">
        <v>97.75</v>
      </c>
      <c r="F152" s="19">
        <v>125</v>
      </c>
      <c r="G152" s="20">
        <v>116</v>
      </c>
    </row>
    <row r="153" spans="2:7" x14ac:dyDescent="0.25">
      <c r="B153" s="11">
        <v>40050260</v>
      </c>
      <c r="C153" s="12" t="s">
        <v>132</v>
      </c>
      <c r="D153" s="12" t="s">
        <v>170</v>
      </c>
      <c r="E153" s="13">
        <v>120.18</v>
      </c>
      <c r="F153" s="14">
        <v>169</v>
      </c>
      <c r="G153" s="15">
        <v>145</v>
      </c>
    </row>
    <row r="154" spans="2:7" x14ac:dyDescent="0.25">
      <c r="B154" s="16">
        <v>40050376</v>
      </c>
      <c r="C154" s="17" t="s">
        <v>132</v>
      </c>
      <c r="D154" s="17" t="s">
        <v>170</v>
      </c>
      <c r="E154" s="18" t="s">
        <v>133</v>
      </c>
      <c r="F154" s="19">
        <v>169</v>
      </c>
      <c r="G154" s="20">
        <v>145</v>
      </c>
    </row>
    <row r="155" spans="2:7" x14ac:dyDescent="0.25">
      <c r="B155" s="11">
        <v>40050319</v>
      </c>
      <c r="C155" s="12" t="s">
        <v>134</v>
      </c>
      <c r="D155" s="12" t="s">
        <v>170</v>
      </c>
      <c r="E155" s="13">
        <v>120.75</v>
      </c>
      <c r="F155" s="14">
        <v>165</v>
      </c>
      <c r="G155" s="15">
        <v>155</v>
      </c>
    </row>
    <row r="156" spans="2:7" x14ac:dyDescent="0.25">
      <c r="B156" s="16">
        <v>40050298</v>
      </c>
      <c r="C156" s="17" t="s">
        <v>135</v>
      </c>
      <c r="D156" s="17" t="s">
        <v>170</v>
      </c>
      <c r="E156" s="18">
        <v>194.35</v>
      </c>
      <c r="F156" s="19">
        <v>260</v>
      </c>
      <c r="G156" s="20">
        <v>241</v>
      </c>
    </row>
    <row r="157" spans="2:7" x14ac:dyDescent="0.25">
      <c r="B157" s="11"/>
      <c r="C157" s="12" t="s">
        <v>171</v>
      </c>
      <c r="D157" s="12" t="s">
        <v>170</v>
      </c>
      <c r="E157" s="13">
        <v>241.5</v>
      </c>
      <c r="F157" s="14">
        <v>320</v>
      </c>
      <c r="G157" s="15">
        <v>299</v>
      </c>
    </row>
    <row r="158" spans="2:7" x14ac:dyDescent="0.25">
      <c r="B158" s="16" t="s">
        <v>479</v>
      </c>
      <c r="C158" s="17" t="s">
        <v>172</v>
      </c>
      <c r="D158" s="17" t="s">
        <v>170</v>
      </c>
      <c r="E158" s="18">
        <v>322</v>
      </c>
      <c r="F158" s="19">
        <v>450</v>
      </c>
      <c r="G158" s="20">
        <v>415</v>
      </c>
    </row>
    <row r="159" spans="2:7" x14ac:dyDescent="0.25">
      <c r="B159" s="11"/>
      <c r="C159" s="12"/>
      <c r="D159" s="12"/>
      <c r="E159" s="13"/>
      <c r="F159" s="14"/>
      <c r="G159" s="15"/>
    </row>
    <row r="160" spans="2:7" x14ac:dyDescent="0.25">
      <c r="B160" s="21"/>
      <c r="C160" s="6" t="s">
        <v>136</v>
      </c>
      <c r="D160" s="6"/>
      <c r="E160" s="22"/>
      <c r="F160" s="23"/>
      <c r="G160" s="24"/>
    </row>
    <row r="161" spans="2:7" x14ac:dyDescent="0.25">
      <c r="B161" s="11">
        <v>40050330</v>
      </c>
      <c r="C161" s="12" t="s">
        <v>137</v>
      </c>
      <c r="D161" s="12" t="s">
        <v>173</v>
      </c>
      <c r="E161" s="13">
        <v>100.97</v>
      </c>
      <c r="F161" s="14">
        <v>135</v>
      </c>
      <c r="G161" s="15">
        <v>127</v>
      </c>
    </row>
    <row r="162" spans="2:7" x14ac:dyDescent="0.25">
      <c r="B162" s="16">
        <v>40050329</v>
      </c>
      <c r="C162" s="17" t="s">
        <v>138</v>
      </c>
      <c r="D162" s="17" t="s">
        <v>173</v>
      </c>
      <c r="E162" s="18">
        <v>126.5</v>
      </c>
      <c r="F162" s="19">
        <v>175</v>
      </c>
      <c r="G162" s="20">
        <v>160</v>
      </c>
    </row>
    <row r="163" spans="2:7" x14ac:dyDescent="0.25">
      <c r="B163" s="11">
        <v>40050346</v>
      </c>
      <c r="C163" s="12" t="s">
        <v>484</v>
      </c>
      <c r="D163" s="12" t="s">
        <v>173</v>
      </c>
      <c r="E163" s="13">
        <v>137.16</v>
      </c>
      <c r="F163" s="14">
        <v>185</v>
      </c>
      <c r="G163" s="15">
        <v>172</v>
      </c>
    </row>
    <row r="164" spans="2:7" x14ac:dyDescent="0.25">
      <c r="B164" s="16">
        <v>40050341</v>
      </c>
      <c r="C164" s="17" t="s">
        <v>139</v>
      </c>
      <c r="D164" s="17" t="s">
        <v>173</v>
      </c>
      <c r="E164" s="18">
        <v>214.69</v>
      </c>
      <c r="F164" s="19">
        <v>305</v>
      </c>
      <c r="G164" s="20">
        <v>275</v>
      </c>
    </row>
    <row r="165" spans="2:7" x14ac:dyDescent="0.25">
      <c r="B165" s="11">
        <v>40050343</v>
      </c>
      <c r="C165" s="12" t="s">
        <v>140</v>
      </c>
      <c r="D165" s="12" t="s">
        <v>173</v>
      </c>
      <c r="E165" s="13">
        <v>264.5</v>
      </c>
      <c r="F165" s="14">
        <v>370</v>
      </c>
      <c r="G165" s="15">
        <v>340</v>
      </c>
    </row>
    <row r="166" spans="2:7" x14ac:dyDescent="0.25">
      <c r="B166" s="16">
        <v>40050344</v>
      </c>
      <c r="C166" s="17" t="s">
        <v>141</v>
      </c>
      <c r="D166" s="17" t="s">
        <v>173</v>
      </c>
      <c r="E166" s="18">
        <v>287.5</v>
      </c>
      <c r="F166" s="19">
        <v>399</v>
      </c>
      <c r="G166" s="20">
        <v>375</v>
      </c>
    </row>
    <row r="167" spans="2:7" x14ac:dyDescent="0.25">
      <c r="B167" s="11"/>
      <c r="C167" s="12"/>
      <c r="D167" s="12"/>
      <c r="E167" s="13"/>
      <c r="F167" s="14"/>
      <c r="G167" s="15"/>
    </row>
    <row r="168" spans="2:7" x14ac:dyDescent="0.25">
      <c r="B168" s="21"/>
      <c r="C168" s="6" t="s">
        <v>301</v>
      </c>
      <c r="D168" s="6"/>
      <c r="E168" s="22"/>
      <c r="F168" s="23"/>
      <c r="G168" s="24"/>
    </row>
    <row r="169" spans="2:7" x14ac:dyDescent="0.25">
      <c r="B169" s="11">
        <v>354880</v>
      </c>
      <c r="C169" s="12" t="s">
        <v>302</v>
      </c>
      <c r="D169" s="12" t="s">
        <v>336</v>
      </c>
      <c r="E169" s="13">
        <v>142.416</v>
      </c>
      <c r="F169" s="14">
        <v>190.11314999999999</v>
      </c>
      <c r="G169" s="15">
        <v>178.51</v>
      </c>
    </row>
    <row r="170" spans="2:7" x14ac:dyDescent="0.25">
      <c r="B170" s="16">
        <v>354884</v>
      </c>
      <c r="C170" s="17" t="s">
        <v>303</v>
      </c>
      <c r="D170" s="17" t="s">
        <v>336</v>
      </c>
      <c r="E170" s="18">
        <v>177.51400000000001</v>
      </c>
      <c r="F170" s="19">
        <v>236.31551250000001</v>
      </c>
      <c r="G170" s="20">
        <v>221.89250000000001</v>
      </c>
    </row>
    <row r="171" spans="2:7" x14ac:dyDescent="0.25">
      <c r="B171" s="16"/>
      <c r="C171" s="17"/>
      <c r="D171" s="17"/>
      <c r="E171" s="18"/>
      <c r="F171" s="19"/>
      <c r="G171" s="20"/>
    </row>
    <row r="172" spans="2:7" x14ac:dyDescent="0.25">
      <c r="B172" s="21"/>
      <c r="C172" s="6" t="s">
        <v>367</v>
      </c>
      <c r="D172" s="6"/>
      <c r="E172" s="22"/>
      <c r="F172" s="23"/>
      <c r="G172" s="24"/>
    </row>
    <row r="173" spans="2:7" x14ac:dyDescent="0.25">
      <c r="B173" s="16" t="s">
        <v>368</v>
      </c>
      <c r="C173" s="17" t="s">
        <v>383</v>
      </c>
      <c r="D173" s="17" t="s">
        <v>336</v>
      </c>
      <c r="E173" s="18">
        <v>106.52</v>
      </c>
      <c r="F173" s="19">
        <f>Tabla1[[#This Row],[EFECTIVO]]*1.06</f>
        <v>150.55180000000001</v>
      </c>
      <c r="G173" s="20">
        <v>142.03</v>
      </c>
    </row>
    <row r="174" spans="2:7" x14ac:dyDescent="0.25">
      <c r="B174" s="11" t="s">
        <v>369</v>
      </c>
      <c r="C174" s="12" t="s">
        <v>383</v>
      </c>
      <c r="D174" s="12" t="s">
        <v>336</v>
      </c>
      <c r="E174" s="13">
        <v>103.5</v>
      </c>
      <c r="F174" s="14">
        <f>Tabla1[[#This Row],[EFECTIVO]]*1.06</f>
        <v>146.28</v>
      </c>
      <c r="G174" s="15">
        <v>138</v>
      </c>
    </row>
    <row r="175" spans="2:7" x14ac:dyDescent="0.25">
      <c r="B175" s="16" t="s">
        <v>370</v>
      </c>
      <c r="C175" s="17" t="s">
        <v>384</v>
      </c>
      <c r="D175" s="17" t="s">
        <v>336</v>
      </c>
      <c r="E175" s="18">
        <v>119.3</v>
      </c>
      <c r="F175" s="19">
        <f>Tabla1[[#This Row],[EFECTIVO]]*1.06</f>
        <v>168.61420000000001</v>
      </c>
      <c r="G175" s="20">
        <v>159.07</v>
      </c>
    </row>
    <row r="176" spans="2:7" x14ac:dyDescent="0.25">
      <c r="B176" s="11" t="s">
        <v>371</v>
      </c>
      <c r="C176" s="12" t="s">
        <v>385</v>
      </c>
      <c r="D176" s="12" t="s">
        <v>336</v>
      </c>
      <c r="E176" s="13">
        <v>127.82</v>
      </c>
      <c r="F176" s="14">
        <f>Tabla1[[#This Row],[EFECTIVO]]*1.06</f>
        <v>180.65580000000003</v>
      </c>
      <c r="G176" s="15">
        <v>170.43</v>
      </c>
    </row>
    <row r="177" spans="2:7" x14ac:dyDescent="0.25">
      <c r="B177" s="16" t="s">
        <v>372</v>
      </c>
      <c r="C177" s="17" t="s">
        <v>385</v>
      </c>
      <c r="D177" s="17" t="s">
        <v>336</v>
      </c>
      <c r="E177" s="18">
        <v>123.75</v>
      </c>
      <c r="F177" s="19">
        <f>Tabla1[[#This Row],[EFECTIVO]]*1.06</f>
        <v>174.9</v>
      </c>
      <c r="G177" s="20">
        <v>165</v>
      </c>
    </row>
    <row r="178" spans="2:7" x14ac:dyDescent="0.25">
      <c r="B178" s="11" t="s">
        <v>373</v>
      </c>
      <c r="C178" s="12" t="s">
        <v>386</v>
      </c>
      <c r="D178" s="12" t="s">
        <v>336</v>
      </c>
      <c r="E178" s="13">
        <v>136.34</v>
      </c>
      <c r="F178" s="14">
        <f>Tabla1[[#This Row],[EFECTIVO]]*1.06</f>
        <v>192.69739999999999</v>
      </c>
      <c r="G178" s="15">
        <v>181.79</v>
      </c>
    </row>
    <row r="179" spans="2:7" x14ac:dyDescent="0.25">
      <c r="B179" s="11"/>
      <c r="C179" s="12"/>
      <c r="D179" s="12"/>
      <c r="E179" s="13"/>
      <c r="F179" s="14"/>
      <c r="G179" s="15"/>
    </row>
    <row r="180" spans="2:7" x14ac:dyDescent="0.25">
      <c r="B180" s="21"/>
      <c r="C180" s="6" t="s">
        <v>211</v>
      </c>
      <c r="D180" s="6"/>
      <c r="E180" s="22"/>
      <c r="F180" s="23"/>
      <c r="G180" s="24"/>
    </row>
    <row r="181" spans="2:7" x14ac:dyDescent="0.25">
      <c r="B181" s="11" t="s">
        <v>212</v>
      </c>
      <c r="C181" s="12" t="s">
        <v>215</v>
      </c>
      <c r="D181" s="12" t="s">
        <v>336</v>
      </c>
      <c r="E181" s="13">
        <v>122.466375</v>
      </c>
      <c r="F181" s="14">
        <v>173.9022525</v>
      </c>
      <c r="G181" s="15">
        <v>163.2885</v>
      </c>
    </row>
    <row r="182" spans="2:7" x14ac:dyDescent="0.25">
      <c r="B182" s="16" t="s">
        <v>213</v>
      </c>
      <c r="C182" s="17" t="s">
        <v>216</v>
      </c>
      <c r="D182" s="17" t="s">
        <v>336</v>
      </c>
      <c r="E182" s="18">
        <v>157.39762500000001</v>
      </c>
      <c r="F182" s="19">
        <v>223.50462749999997</v>
      </c>
      <c r="G182" s="20">
        <v>209.86349999999999</v>
      </c>
    </row>
    <row r="183" spans="2:7" x14ac:dyDescent="0.25">
      <c r="B183" s="11" t="s">
        <v>214</v>
      </c>
      <c r="C183" s="12" t="s">
        <v>217</v>
      </c>
      <c r="D183" s="12" t="s">
        <v>336</v>
      </c>
      <c r="E183" s="13">
        <v>166.8075</v>
      </c>
      <c r="F183" s="14">
        <v>236.86664999999999</v>
      </c>
      <c r="G183" s="15">
        <v>222.41</v>
      </c>
    </row>
    <row r="184" spans="2:7" x14ac:dyDescent="0.25">
      <c r="B184" s="16"/>
      <c r="C184" s="17"/>
      <c r="D184" s="17"/>
      <c r="E184" s="18"/>
      <c r="F184" s="19"/>
      <c r="G184" s="20"/>
    </row>
    <row r="185" spans="2:7" x14ac:dyDescent="0.25">
      <c r="B185" s="21"/>
      <c r="C185" s="6" t="s">
        <v>218</v>
      </c>
      <c r="D185" s="6"/>
      <c r="E185" s="22"/>
      <c r="F185" s="23"/>
      <c r="G185" s="24"/>
    </row>
    <row r="186" spans="2:7" x14ac:dyDescent="0.25">
      <c r="B186" s="16" t="s">
        <v>219</v>
      </c>
      <c r="C186" s="17" t="s">
        <v>222</v>
      </c>
      <c r="D186" s="17" t="s">
        <v>336</v>
      </c>
      <c r="E186" s="18">
        <v>160.4135</v>
      </c>
      <c r="F186" s="19">
        <v>227.79125249999998</v>
      </c>
      <c r="G186" s="20">
        <v>213.88849999999999</v>
      </c>
    </row>
    <row r="187" spans="2:7" x14ac:dyDescent="0.25">
      <c r="B187" s="11" t="s">
        <v>220</v>
      </c>
      <c r="C187" s="12" t="s">
        <v>223</v>
      </c>
      <c r="D187" s="12" t="s">
        <v>336</v>
      </c>
      <c r="E187" s="13">
        <v>206.36749999999998</v>
      </c>
      <c r="F187" s="14">
        <v>293.04593249999999</v>
      </c>
      <c r="G187" s="15">
        <v>275.16050000000001</v>
      </c>
    </row>
    <row r="188" spans="2:7" x14ac:dyDescent="0.25">
      <c r="B188" s="16" t="s">
        <v>221</v>
      </c>
      <c r="C188" s="17" t="s">
        <v>224</v>
      </c>
      <c r="D188" s="17" t="s">
        <v>336</v>
      </c>
      <c r="E188" s="18">
        <v>227.60799999999998</v>
      </c>
      <c r="F188" s="19">
        <v>323.19927749999994</v>
      </c>
      <c r="G188" s="20">
        <v>303.47349999999994</v>
      </c>
    </row>
    <row r="189" spans="2:7" x14ac:dyDescent="0.25">
      <c r="B189" s="11"/>
      <c r="C189" s="12"/>
      <c r="D189" s="12"/>
      <c r="E189" s="13"/>
      <c r="F189" s="14"/>
      <c r="G189" s="15"/>
    </row>
    <row r="190" spans="2:7" x14ac:dyDescent="0.25">
      <c r="B190" s="21"/>
      <c r="C190" s="6" t="s">
        <v>487</v>
      </c>
      <c r="D190" s="6"/>
      <c r="E190" s="22"/>
      <c r="F190" s="23"/>
      <c r="G190" s="24"/>
    </row>
    <row r="191" spans="2:7" x14ac:dyDescent="0.25">
      <c r="B191" s="11" t="s">
        <v>486</v>
      </c>
      <c r="C191" s="12" t="s">
        <v>488</v>
      </c>
      <c r="D191" s="12" t="s">
        <v>336</v>
      </c>
      <c r="E191" s="13">
        <v>284.0025</v>
      </c>
      <c r="F191" s="14">
        <f>Tabla1[[#This Row],[EFECTIVO]]*1.05</f>
        <v>397.60350000000005</v>
      </c>
      <c r="G191" s="15">
        <v>378.67</v>
      </c>
    </row>
    <row r="192" spans="2:7" x14ac:dyDescent="0.25">
      <c r="B192" s="16"/>
      <c r="C192" s="17"/>
      <c r="D192" s="17"/>
      <c r="E192" s="18"/>
      <c r="F192" s="19"/>
      <c r="G192" s="20"/>
    </row>
    <row r="193" spans="2:7" x14ac:dyDescent="0.25">
      <c r="B193" s="21"/>
      <c r="C193" s="6" t="s">
        <v>485</v>
      </c>
      <c r="D193" s="6"/>
      <c r="E193" s="22"/>
      <c r="F193" s="23"/>
      <c r="G193" s="24"/>
    </row>
    <row r="194" spans="2:7" x14ac:dyDescent="0.25">
      <c r="B194" s="16">
        <v>2447650000</v>
      </c>
      <c r="C194" s="17" t="s">
        <v>497</v>
      </c>
      <c r="D194" s="17" t="s">
        <v>336</v>
      </c>
      <c r="E194" s="18">
        <v>188.876</v>
      </c>
      <c r="F194" s="19">
        <f>Tabla1[[#This Row],[EFECTIVO]]*1.06</f>
        <v>266.94880999999998</v>
      </c>
      <c r="G194" s="20">
        <v>251.83849999999998</v>
      </c>
    </row>
    <row r="195" spans="2:7" x14ac:dyDescent="0.25">
      <c r="B195" s="11">
        <v>2447680000</v>
      </c>
      <c r="C195" s="12" t="s">
        <v>498</v>
      </c>
      <c r="D195" s="12" t="s">
        <v>336</v>
      </c>
      <c r="E195" s="13">
        <v>0</v>
      </c>
      <c r="F195" s="14">
        <f>Tabla1[[#This Row],[EFECTIVO]]*1.06</f>
        <v>0</v>
      </c>
      <c r="G195" s="15">
        <v>0</v>
      </c>
    </row>
    <row r="196" spans="2:7" x14ac:dyDescent="0.25">
      <c r="B196" s="16">
        <v>2447690000</v>
      </c>
      <c r="C196" s="17" t="s">
        <v>499</v>
      </c>
      <c r="D196" s="17" t="s">
        <v>336</v>
      </c>
      <c r="E196" s="18">
        <v>251.79249999999996</v>
      </c>
      <c r="F196" s="19">
        <f>Tabla1[[#This Row],[EFECTIVO]]*1.06</f>
        <v>355.87486000000001</v>
      </c>
      <c r="G196" s="20">
        <v>335.73099999999999</v>
      </c>
    </row>
    <row r="197" spans="2:7" x14ac:dyDescent="0.25">
      <c r="B197" s="11">
        <v>2447710000</v>
      </c>
      <c r="C197" s="12" t="s">
        <v>500</v>
      </c>
      <c r="D197" s="12" t="s">
        <v>336</v>
      </c>
      <c r="E197" s="13">
        <v>284.42950000000002</v>
      </c>
      <c r="F197" s="14">
        <f>Tabla1[[#This Row],[EFECTIVO]]*1.06</f>
        <v>402.00181999999995</v>
      </c>
      <c r="G197" s="15">
        <v>379.24699999999996</v>
      </c>
    </row>
    <row r="198" spans="2:7" x14ac:dyDescent="0.25">
      <c r="B198" s="16">
        <v>2447720000</v>
      </c>
      <c r="C198" s="17" t="s">
        <v>501</v>
      </c>
      <c r="D198" s="17" t="s">
        <v>336</v>
      </c>
      <c r="E198" s="18">
        <v>291.46749999999997</v>
      </c>
      <c r="F198" s="19">
        <f>Tabla1[[#This Row],[EFECTIVO]]*1.06</f>
        <v>411.94885999999997</v>
      </c>
      <c r="G198" s="20">
        <v>388.63099999999997</v>
      </c>
    </row>
    <row r="199" spans="2:7" x14ac:dyDescent="0.25">
      <c r="B199" s="16"/>
      <c r="C199" s="17"/>
      <c r="D199" s="17"/>
      <c r="E199" s="18"/>
      <c r="F199" s="19"/>
      <c r="G199" s="20"/>
    </row>
    <row r="200" spans="2:7" x14ac:dyDescent="0.25">
      <c r="B200" s="21"/>
      <c r="C200" s="6" t="s">
        <v>228</v>
      </c>
      <c r="D200" s="6"/>
      <c r="E200" s="22"/>
      <c r="F200" s="23"/>
      <c r="G200" s="24"/>
    </row>
    <row r="201" spans="2:7" x14ac:dyDescent="0.25">
      <c r="B201" s="16">
        <v>40050356</v>
      </c>
      <c r="C201" s="17" t="s">
        <v>225</v>
      </c>
      <c r="D201" s="17" t="s">
        <v>338</v>
      </c>
      <c r="E201" s="18">
        <v>287.5</v>
      </c>
      <c r="F201" s="19">
        <v>400</v>
      </c>
      <c r="G201" s="20">
        <v>375</v>
      </c>
    </row>
    <row r="202" spans="2:7" x14ac:dyDescent="0.25">
      <c r="B202" s="11">
        <v>40050357</v>
      </c>
      <c r="C202" s="12" t="s">
        <v>226</v>
      </c>
      <c r="D202" s="12" t="s">
        <v>338</v>
      </c>
      <c r="E202" s="13">
        <v>394.45</v>
      </c>
      <c r="F202" s="14">
        <v>550</v>
      </c>
      <c r="G202" s="15">
        <v>500</v>
      </c>
    </row>
    <row r="203" spans="2:7" x14ac:dyDescent="0.25">
      <c r="B203" s="16">
        <v>40050358</v>
      </c>
      <c r="C203" s="17" t="s">
        <v>227</v>
      </c>
      <c r="D203" s="17" t="s">
        <v>338</v>
      </c>
      <c r="E203" s="18">
        <v>402.5</v>
      </c>
      <c r="F203" s="19">
        <v>560</v>
      </c>
      <c r="G203" s="20">
        <v>510</v>
      </c>
    </row>
    <row r="204" spans="2:7" x14ac:dyDescent="0.25">
      <c r="B204" s="21"/>
      <c r="C204" s="6" t="s">
        <v>229</v>
      </c>
      <c r="D204" s="6"/>
      <c r="E204" s="22"/>
      <c r="F204" s="23"/>
      <c r="G204" s="24"/>
    </row>
    <row r="205" spans="2:7" x14ac:dyDescent="0.25">
      <c r="B205" s="16">
        <v>40050364</v>
      </c>
      <c r="C205" s="17" t="s">
        <v>230</v>
      </c>
      <c r="D205" s="17" t="s">
        <v>339</v>
      </c>
      <c r="E205" s="18">
        <v>264.5</v>
      </c>
      <c r="F205" s="19">
        <v>392</v>
      </c>
      <c r="G205" s="20">
        <v>345</v>
      </c>
    </row>
    <row r="206" spans="2:7" x14ac:dyDescent="0.25">
      <c r="B206" s="11">
        <v>40050340</v>
      </c>
      <c r="C206" s="12" t="s">
        <v>231</v>
      </c>
      <c r="D206" s="12" t="s">
        <v>339</v>
      </c>
      <c r="E206" s="13">
        <v>317.39999999999998</v>
      </c>
      <c r="F206" s="14">
        <v>466</v>
      </c>
      <c r="G206" s="15">
        <v>420</v>
      </c>
    </row>
    <row r="207" spans="2:7" x14ac:dyDescent="0.25">
      <c r="B207" s="16">
        <v>40050355</v>
      </c>
      <c r="C207" s="17" t="s">
        <v>232</v>
      </c>
      <c r="D207" s="17" t="s">
        <v>339</v>
      </c>
      <c r="E207" s="18">
        <v>345</v>
      </c>
      <c r="F207" s="19">
        <v>483</v>
      </c>
      <c r="G207" s="20">
        <v>460</v>
      </c>
    </row>
    <row r="208" spans="2:7" x14ac:dyDescent="0.25">
      <c r="B208" s="11"/>
      <c r="C208" s="12"/>
      <c r="D208" s="12"/>
      <c r="E208" s="13"/>
      <c r="F208" s="14"/>
      <c r="G208" s="15"/>
    </row>
    <row r="209" spans="2:7" x14ac:dyDescent="0.25">
      <c r="B209" s="21"/>
      <c r="C209" s="6" t="s">
        <v>233</v>
      </c>
      <c r="D209" s="6"/>
      <c r="E209" s="22"/>
      <c r="F209" s="23"/>
      <c r="G209" s="24"/>
    </row>
    <row r="210" spans="2:7" x14ac:dyDescent="0.25">
      <c r="B210" s="11">
        <v>2446540000</v>
      </c>
      <c r="C210" s="12" t="s">
        <v>234</v>
      </c>
      <c r="D210" s="12" t="s">
        <v>338</v>
      </c>
      <c r="E210" s="13">
        <v>206.10299999999998</v>
      </c>
      <c r="F210" s="14">
        <v>292.66625999999997</v>
      </c>
      <c r="G210" s="15">
        <v>274.80399999999997</v>
      </c>
    </row>
    <row r="211" spans="2:7" x14ac:dyDescent="0.25">
      <c r="B211" s="16">
        <v>2446560000</v>
      </c>
      <c r="C211" s="17" t="s">
        <v>235</v>
      </c>
      <c r="D211" s="17" t="s">
        <v>338</v>
      </c>
      <c r="E211" s="18">
        <v>286.47649999999999</v>
      </c>
      <c r="F211" s="19">
        <v>406.78846499999992</v>
      </c>
      <c r="G211" s="20">
        <v>381.96099999999996</v>
      </c>
    </row>
    <row r="212" spans="2:7" x14ac:dyDescent="0.25">
      <c r="B212" s="11">
        <v>2446570000</v>
      </c>
      <c r="C212" s="12" t="s">
        <v>236</v>
      </c>
      <c r="D212" s="12" t="s">
        <v>338</v>
      </c>
      <c r="E212" s="13">
        <v>306.084</v>
      </c>
      <c r="F212" s="14">
        <v>434.63927999999993</v>
      </c>
      <c r="G212" s="15">
        <v>408.11199999999997</v>
      </c>
    </row>
    <row r="213" spans="2:7" x14ac:dyDescent="0.25">
      <c r="B213" s="16"/>
      <c r="C213" s="17"/>
      <c r="D213" s="17"/>
      <c r="E213" s="18"/>
      <c r="F213" s="19"/>
      <c r="G213" s="20"/>
    </row>
    <row r="214" spans="2:7" x14ac:dyDescent="0.25">
      <c r="B214" s="21"/>
      <c r="C214" s="6" t="s">
        <v>496</v>
      </c>
      <c r="D214" s="6"/>
      <c r="E214" s="22"/>
      <c r="F214" s="23"/>
      <c r="G214" s="24"/>
    </row>
    <row r="215" spans="2:7" x14ac:dyDescent="0.25">
      <c r="B215" s="16">
        <v>2446580000</v>
      </c>
      <c r="C215" s="17" t="s">
        <v>492</v>
      </c>
      <c r="D215" s="17" t="s">
        <v>337</v>
      </c>
      <c r="E215" s="18">
        <v>160.01685267857141</v>
      </c>
      <c r="F215" s="19">
        <f>Tabla1[[#This Row],[EFECTIVO]]*1.04</f>
        <v>221.89003571428569</v>
      </c>
      <c r="G215" s="20">
        <v>213.35580357142854</v>
      </c>
    </row>
    <row r="216" spans="2:7" x14ac:dyDescent="0.25">
      <c r="B216" s="11">
        <v>2446590000</v>
      </c>
      <c r="C216" s="12" t="s">
        <v>493</v>
      </c>
      <c r="D216" s="12" t="s">
        <v>337</v>
      </c>
      <c r="E216" s="13">
        <v>224.76595982142857</v>
      </c>
      <c r="F216" s="14">
        <f>Tabla1[[#This Row],[EFECTIVO]]*1.04</f>
        <v>311.67546428571427</v>
      </c>
      <c r="G216" s="15">
        <v>299.68794642857142</v>
      </c>
    </row>
    <row r="217" spans="2:7" x14ac:dyDescent="0.25">
      <c r="B217" s="16">
        <v>2446610000</v>
      </c>
      <c r="C217" s="17" t="s">
        <v>494</v>
      </c>
      <c r="D217" s="17" t="s">
        <v>337</v>
      </c>
      <c r="E217" s="18">
        <v>236.32499999999993</v>
      </c>
      <c r="F217" s="19">
        <f>Tabla1[[#This Row],[EFECTIVO]]*1.04</f>
        <v>327.70399999999989</v>
      </c>
      <c r="G217" s="20">
        <v>315.09999999999991</v>
      </c>
    </row>
    <row r="218" spans="2:7" x14ac:dyDescent="0.25">
      <c r="B218" s="11">
        <v>2446620000</v>
      </c>
      <c r="C218" s="12" t="s">
        <v>495</v>
      </c>
      <c r="D218" s="12" t="s">
        <v>337</v>
      </c>
      <c r="E218" s="13">
        <v>255.20758928571425</v>
      </c>
      <c r="F218" s="14">
        <f>Tabla1[[#This Row],[EFECTIVO]]*1.04</f>
        <v>353.88785714285711</v>
      </c>
      <c r="G218" s="15">
        <v>340.27678571428567</v>
      </c>
    </row>
    <row r="219" spans="2:7" x14ac:dyDescent="0.25">
      <c r="B219" s="16"/>
      <c r="C219" s="17"/>
      <c r="D219" s="17"/>
      <c r="E219" s="18"/>
      <c r="F219" s="19"/>
      <c r="G219" s="20"/>
    </row>
    <row r="220" spans="2:7" x14ac:dyDescent="0.25">
      <c r="B220" s="21"/>
      <c r="C220" s="6" t="s">
        <v>237</v>
      </c>
      <c r="D220" s="6"/>
      <c r="E220" s="22"/>
      <c r="F220" s="23"/>
      <c r="G220" s="24"/>
    </row>
    <row r="221" spans="2:7" x14ac:dyDescent="0.25">
      <c r="B221" s="16" t="s">
        <v>405</v>
      </c>
      <c r="C221" s="17" t="s">
        <v>402</v>
      </c>
      <c r="D221" s="17" t="s">
        <v>341</v>
      </c>
      <c r="E221" s="18">
        <v>203.81</v>
      </c>
      <c r="F221" s="19">
        <v>317</v>
      </c>
      <c r="G221" s="20">
        <v>299</v>
      </c>
    </row>
    <row r="222" spans="2:7" x14ac:dyDescent="0.25">
      <c r="B222" s="11" t="s">
        <v>406</v>
      </c>
      <c r="C222" s="12" t="s">
        <v>403</v>
      </c>
      <c r="D222" s="12" t="s">
        <v>341</v>
      </c>
      <c r="E222" s="13">
        <v>283.47000000000003</v>
      </c>
      <c r="F222" s="14">
        <v>385</v>
      </c>
      <c r="G222" s="15">
        <v>365</v>
      </c>
    </row>
    <row r="223" spans="2:7" x14ac:dyDescent="0.25">
      <c r="B223" s="16" t="s">
        <v>407</v>
      </c>
      <c r="C223" s="17" t="s">
        <v>404</v>
      </c>
      <c r="D223" s="17" t="s">
        <v>341</v>
      </c>
      <c r="E223" s="18">
        <v>326.42</v>
      </c>
      <c r="F223" s="19">
        <v>510</v>
      </c>
      <c r="G223" s="20">
        <v>480</v>
      </c>
    </row>
    <row r="224" spans="2:7" x14ac:dyDescent="0.25">
      <c r="B224" s="11"/>
      <c r="C224" s="12"/>
      <c r="D224" s="12"/>
      <c r="E224" s="13"/>
      <c r="F224" s="14"/>
      <c r="G224" s="15"/>
    </row>
    <row r="225" spans="2:7" x14ac:dyDescent="0.25">
      <c r="B225" s="5"/>
      <c r="C225" s="6" t="s">
        <v>238</v>
      </c>
      <c r="D225" s="7"/>
      <c r="E225" s="8"/>
      <c r="F225" s="9"/>
      <c r="G225" s="10"/>
    </row>
    <row r="226" spans="2:7" x14ac:dyDescent="0.25">
      <c r="B226" s="11"/>
      <c r="C226" s="12">
        <v>120</v>
      </c>
      <c r="D226" s="12" t="s">
        <v>341</v>
      </c>
      <c r="E226" s="13"/>
      <c r="F226" s="14"/>
      <c r="G226" s="15">
        <v>350</v>
      </c>
    </row>
    <row r="227" spans="2:7" x14ac:dyDescent="0.25">
      <c r="B227" s="16"/>
      <c r="C227" s="17">
        <v>180</v>
      </c>
      <c r="D227" s="17" t="s">
        <v>341</v>
      </c>
      <c r="E227" s="18"/>
      <c r="F227" s="19"/>
      <c r="G227" s="20">
        <v>450</v>
      </c>
    </row>
    <row r="228" spans="2:7" x14ac:dyDescent="0.25">
      <c r="B228" s="11"/>
      <c r="C228" s="12">
        <v>200</v>
      </c>
      <c r="D228" s="12" t="s">
        <v>341</v>
      </c>
      <c r="E228" s="13"/>
      <c r="F228" s="14"/>
      <c r="G228" s="15">
        <v>500</v>
      </c>
    </row>
    <row r="229" spans="2:7" x14ac:dyDescent="0.25">
      <c r="B229" s="16"/>
      <c r="C229" s="17"/>
      <c r="D229" s="17"/>
      <c r="E229" s="18"/>
      <c r="F229" s="19"/>
      <c r="G229" s="20"/>
    </row>
    <row r="230" spans="2:7" x14ac:dyDescent="0.25">
      <c r="B230" s="21"/>
      <c r="C230" s="6" t="s">
        <v>243</v>
      </c>
      <c r="D230" s="6"/>
      <c r="E230" s="22"/>
      <c r="F230" s="23"/>
      <c r="G230" s="24"/>
    </row>
    <row r="231" spans="2:7" x14ac:dyDescent="0.25">
      <c r="B231" s="16">
        <v>2447730000</v>
      </c>
      <c r="C231" s="17" t="s">
        <v>489</v>
      </c>
      <c r="D231" s="17" t="s">
        <v>339</v>
      </c>
      <c r="E231" s="18">
        <v>157.41999999999999</v>
      </c>
      <c r="F231" s="19">
        <v>224</v>
      </c>
      <c r="G231" s="20">
        <v>210</v>
      </c>
    </row>
    <row r="232" spans="2:7" x14ac:dyDescent="0.25">
      <c r="B232" s="11">
        <v>2447750000</v>
      </c>
      <c r="C232" s="12" t="s">
        <v>490</v>
      </c>
      <c r="D232" s="12" t="s">
        <v>339</v>
      </c>
      <c r="E232" s="13">
        <v>235.91</v>
      </c>
      <c r="F232" s="14">
        <v>335</v>
      </c>
      <c r="G232" s="15">
        <v>315</v>
      </c>
    </row>
    <row r="233" spans="2:7" x14ac:dyDescent="0.25">
      <c r="B233" s="16">
        <v>2447760000</v>
      </c>
      <c r="C233" s="17" t="s">
        <v>491</v>
      </c>
      <c r="D233" s="17" t="s">
        <v>339</v>
      </c>
      <c r="E233" s="18">
        <v>249.08</v>
      </c>
      <c r="F233" s="19">
        <v>354</v>
      </c>
      <c r="G233" s="20">
        <v>332</v>
      </c>
    </row>
    <row r="234" spans="2:7" x14ac:dyDescent="0.25">
      <c r="B234" s="11"/>
      <c r="C234" s="12"/>
      <c r="D234" s="12"/>
      <c r="E234" s="13"/>
      <c r="F234" s="14"/>
      <c r="G234" s="15"/>
    </row>
    <row r="235" spans="2:7" x14ac:dyDescent="0.25">
      <c r="B235" s="16"/>
      <c r="C235" s="17"/>
      <c r="D235" s="17"/>
      <c r="E235" s="18"/>
      <c r="F235" s="19"/>
      <c r="G235" s="20"/>
    </row>
    <row r="236" spans="2:7" x14ac:dyDescent="0.25">
      <c r="B236" s="11"/>
      <c r="C236" s="12"/>
      <c r="D236" s="12"/>
      <c r="E236" s="13"/>
      <c r="F236" s="14"/>
      <c r="G236" s="15"/>
    </row>
    <row r="237" spans="2:7" x14ac:dyDescent="0.25">
      <c r="B237" s="16"/>
      <c r="C237" s="17"/>
      <c r="D237" s="17"/>
      <c r="E237" s="18"/>
      <c r="F237" s="19"/>
      <c r="G237" s="20"/>
    </row>
    <row r="238" spans="2:7" x14ac:dyDescent="0.25">
      <c r="B238" s="21"/>
      <c r="C238" s="6" t="s">
        <v>289</v>
      </c>
      <c r="D238" s="6"/>
      <c r="E238" s="22"/>
      <c r="F238" s="23"/>
      <c r="G238" s="24"/>
    </row>
    <row r="239" spans="2:7" x14ac:dyDescent="0.25">
      <c r="B239" s="16">
        <v>325331</v>
      </c>
      <c r="C239" s="17" t="s">
        <v>290</v>
      </c>
      <c r="D239" s="17" t="s">
        <v>337</v>
      </c>
      <c r="E239" s="18">
        <v>107.8056</v>
      </c>
      <c r="F239" s="19">
        <v>143.51620499999999</v>
      </c>
      <c r="G239" s="20">
        <v>134.75700000000001</v>
      </c>
    </row>
    <row r="240" spans="2:7" x14ac:dyDescent="0.25">
      <c r="B240" s="11">
        <v>328865</v>
      </c>
      <c r="C240" s="12" t="s">
        <v>291</v>
      </c>
      <c r="D240" s="12" t="s">
        <v>337</v>
      </c>
      <c r="E240" s="13">
        <v>118.63399999999999</v>
      </c>
      <c r="F240" s="14">
        <v>158.16314999999997</v>
      </c>
      <c r="G240" s="15">
        <v>148.51</v>
      </c>
    </row>
    <row r="241" spans="2:7" x14ac:dyDescent="0.25">
      <c r="B241" s="16">
        <v>325334</v>
      </c>
      <c r="C241" s="17" t="s">
        <v>292</v>
      </c>
      <c r="D241" s="17" t="s">
        <v>337</v>
      </c>
      <c r="E241" s="18">
        <v>163.01249999999999</v>
      </c>
      <c r="F241" s="19">
        <v>217.01039062499996</v>
      </c>
      <c r="G241" s="20">
        <v>203.76562499999997</v>
      </c>
    </row>
    <row r="242" spans="2:7" x14ac:dyDescent="0.25">
      <c r="B242" s="11">
        <v>325332</v>
      </c>
      <c r="C242" s="12" t="s">
        <v>293</v>
      </c>
      <c r="D242" s="12" t="s">
        <v>337</v>
      </c>
      <c r="E242" s="13">
        <v>140.15452499999998</v>
      </c>
      <c r="F242" s="14">
        <v>186.91814999999997</v>
      </c>
      <c r="G242" s="15">
        <v>175.51</v>
      </c>
    </row>
    <row r="243" spans="2:7" x14ac:dyDescent="0.25">
      <c r="B243" s="16">
        <v>325336</v>
      </c>
      <c r="C243" s="17" t="s">
        <v>294</v>
      </c>
      <c r="D243" s="17" t="s">
        <v>337</v>
      </c>
      <c r="E243" s="18">
        <v>231.72499999999999</v>
      </c>
      <c r="F243" s="19">
        <v>308.48390624999996</v>
      </c>
      <c r="G243" s="20">
        <v>289.65625</v>
      </c>
    </row>
    <row r="244" spans="2:7" x14ac:dyDescent="0.25">
      <c r="B244" s="11">
        <v>325337</v>
      </c>
      <c r="C244" s="12" t="s">
        <v>295</v>
      </c>
      <c r="D244" s="12" t="s">
        <v>337</v>
      </c>
      <c r="E244" s="13">
        <v>245.52499999999998</v>
      </c>
      <c r="F244" s="14">
        <v>326.85515624999999</v>
      </c>
      <c r="G244" s="15">
        <v>306.90625</v>
      </c>
    </row>
    <row r="245" spans="2:7" x14ac:dyDescent="0.25">
      <c r="B245" s="16"/>
      <c r="C245" s="17"/>
      <c r="D245" s="17"/>
      <c r="E245" s="18"/>
      <c r="F245" s="19"/>
      <c r="G245" s="20"/>
    </row>
    <row r="246" spans="2:7" x14ac:dyDescent="0.25">
      <c r="B246" s="21"/>
      <c r="C246" s="6" t="s">
        <v>296</v>
      </c>
      <c r="D246" s="6"/>
      <c r="E246" s="22"/>
      <c r="F246" s="23"/>
      <c r="G246" s="24"/>
    </row>
    <row r="247" spans="2:7" x14ac:dyDescent="0.25">
      <c r="B247" s="16">
        <v>327307</v>
      </c>
      <c r="C247" s="17" t="s">
        <v>297</v>
      </c>
      <c r="D247" s="17" t="s">
        <v>337</v>
      </c>
      <c r="E247" s="18">
        <v>166.75</v>
      </c>
      <c r="F247" s="19">
        <v>222.06314999999998</v>
      </c>
      <c r="G247" s="20">
        <v>208.51</v>
      </c>
    </row>
    <row r="248" spans="2:7" x14ac:dyDescent="0.25">
      <c r="B248" s="11">
        <v>327316</v>
      </c>
      <c r="C248" s="12" t="s">
        <v>298</v>
      </c>
      <c r="D248" s="12" t="s">
        <v>337</v>
      </c>
      <c r="E248" s="13">
        <v>212.14049999999997</v>
      </c>
      <c r="F248" s="14">
        <v>282.76814999999999</v>
      </c>
      <c r="G248" s="15">
        <v>265.51</v>
      </c>
    </row>
    <row r="249" spans="2:7" x14ac:dyDescent="0.25">
      <c r="B249" s="16">
        <v>327318</v>
      </c>
      <c r="C249" s="17" t="s">
        <v>299</v>
      </c>
      <c r="D249" s="17" t="s">
        <v>337</v>
      </c>
      <c r="E249" s="18">
        <v>247.82499999999999</v>
      </c>
      <c r="F249" s="19">
        <v>329.91703124999998</v>
      </c>
      <c r="G249" s="20">
        <v>309.78125</v>
      </c>
    </row>
    <row r="250" spans="2:7" x14ac:dyDescent="0.25">
      <c r="B250" s="11">
        <v>327319</v>
      </c>
      <c r="C250" s="12" t="s">
        <v>300</v>
      </c>
      <c r="D250" s="12" t="s">
        <v>337</v>
      </c>
      <c r="E250" s="13">
        <v>259.32499999999999</v>
      </c>
      <c r="F250" s="14">
        <v>345.60314999999997</v>
      </c>
      <c r="G250" s="15">
        <v>324.51</v>
      </c>
    </row>
    <row r="251" spans="2:7" x14ac:dyDescent="0.25">
      <c r="B251" s="11"/>
      <c r="C251" s="12"/>
      <c r="D251" s="12"/>
      <c r="E251" s="13"/>
      <c r="F251" s="14"/>
      <c r="G251" s="15"/>
    </row>
    <row r="252" spans="2:7" x14ac:dyDescent="0.25">
      <c r="B252" s="21"/>
      <c r="C252" s="6" t="s">
        <v>304</v>
      </c>
      <c r="D252" s="6"/>
      <c r="E252" s="22"/>
      <c r="F252" s="23"/>
      <c r="G252" s="24"/>
    </row>
    <row r="253" spans="2:7" x14ac:dyDescent="0.25">
      <c r="B253" s="11">
        <v>357456</v>
      </c>
      <c r="C253" s="12" t="s">
        <v>305</v>
      </c>
      <c r="D253" s="12" t="s">
        <v>340</v>
      </c>
      <c r="E253" s="13">
        <v>123.45249999999999</v>
      </c>
      <c r="F253" s="14">
        <v>164.55314999999999</v>
      </c>
      <c r="G253" s="15">
        <v>154.51</v>
      </c>
    </row>
    <row r="254" spans="2:7" x14ac:dyDescent="0.25">
      <c r="B254" s="16">
        <v>338325</v>
      </c>
      <c r="C254" s="17" t="s">
        <v>306</v>
      </c>
      <c r="D254" s="17" t="s">
        <v>340</v>
      </c>
      <c r="E254" s="18">
        <v>214.30249999999998</v>
      </c>
      <c r="F254" s="19">
        <v>274.24814999999995</v>
      </c>
      <c r="G254" s="20">
        <v>257.51</v>
      </c>
    </row>
    <row r="255" spans="2:7" x14ac:dyDescent="0.25">
      <c r="B255" s="11">
        <v>319403</v>
      </c>
      <c r="C255" s="12" t="s">
        <v>307</v>
      </c>
      <c r="D255" s="12" t="s">
        <v>340</v>
      </c>
      <c r="E255" s="13">
        <v>142.07430625000001</v>
      </c>
      <c r="F255" s="14">
        <v>189.1364201953125</v>
      </c>
      <c r="G255" s="15">
        <v>177.59288281249999</v>
      </c>
    </row>
    <row r="256" spans="2:7" x14ac:dyDescent="0.25">
      <c r="B256" s="16">
        <v>357459</v>
      </c>
      <c r="C256" s="17" t="s">
        <v>308</v>
      </c>
      <c r="D256" s="17" t="s">
        <v>340</v>
      </c>
      <c r="E256" s="18">
        <v>142.07430625000001</v>
      </c>
      <c r="F256" s="19">
        <v>189.1364201953125</v>
      </c>
      <c r="G256" s="20">
        <v>177.59288281249999</v>
      </c>
    </row>
    <row r="257" spans="2:7" x14ac:dyDescent="0.25">
      <c r="B257" s="11">
        <v>355508</v>
      </c>
      <c r="C257" s="12" t="s">
        <v>309</v>
      </c>
      <c r="D257" s="12" t="s">
        <v>340</v>
      </c>
      <c r="E257" s="13">
        <v>378.70649999999995</v>
      </c>
      <c r="F257" s="14">
        <v>504.28814999999997</v>
      </c>
      <c r="G257" s="15">
        <v>473.51</v>
      </c>
    </row>
    <row r="258" spans="2:7" s="25" customFormat="1" x14ac:dyDescent="0.25">
      <c r="B258" s="11"/>
      <c r="C258" s="12"/>
      <c r="D258" s="12"/>
      <c r="E258" s="13"/>
      <c r="F258" s="14"/>
      <c r="G258" s="15"/>
    </row>
    <row r="259" spans="2:7" x14ac:dyDescent="0.25">
      <c r="B259" s="21"/>
      <c r="C259" s="6" t="s">
        <v>410</v>
      </c>
      <c r="D259" s="6"/>
      <c r="E259" s="22"/>
      <c r="F259" s="23"/>
      <c r="G259" s="24"/>
    </row>
    <row r="260" spans="2:7" x14ac:dyDescent="0.25">
      <c r="B260" s="16" t="s">
        <v>411</v>
      </c>
      <c r="C260" s="17" t="s">
        <v>383</v>
      </c>
      <c r="D260" s="17" t="s">
        <v>337</v>
      </c>
      <c r="E260" s="18">
        <v>126.75731250000001</v>
      </c>
      <c r="F260" s="19">
        <f>Tabla1[[#This Row],[EFECTIVO]]*1.06</f>
        <v>216.78695999999997</v>
      </c>
      <c r="G260" s="20">
        <v>169.00975000000003</v>
      </c>
    </row>
    <row r="261" spans="2:7" x14ac:dyDescent="0.25">
      <c r="B261" s="11" t="s">
        <v>412</v>
      </c>
      <c r="C261" s="12" t="s">
        <v>384</v>
      </c>
      <c r="D261" s="12" t="s">
        <v>337</v>
      </c>
      <c r="E261" s="13">
        <v>140.60474999999997</v>
      </c>
      <c r="F261" s="14">
        <f>Tabla1[[#This Row],[EFECTIVO]]*1.06</f>
        <v>251.412655</v>
      </c>
      <c r="G261" s="15">
        <v>187.47299999999996</v>
      </c>
    </row>
    <row r="262" spans="2:7" x14ac:dyDescent="0.25">
      <c r="B262" s="16" t="s">
        <v>413</v>
      </c>
      <c r="C262" s="17" t="s">
        <v>385</v>
      </c>
      <c r="D262" s="17" t="s">
        <v>337</v>
      </c>
      <c r="E262" s="18">
        <v>140.60474999999997</v>
      </c>
      <c r="F262" s="19">
        <f>Tabla1[[#This Row],[EFECTIVO]]*1.06</f>
        <v>0</v>
      </c>
      <c r="G262" s="20">
        <v>187.47299999999996</v>
      </c>
    </row>
    <row r="263" spans="2:7" x14ac:dyDescent="0.25">
      <c r="B263" s="11" t="s">
        <v>414</v>
      </c>
      <c r="C263" s="12" t="s">
        <v>386</v>
      </c>
      <c r="D263" s="12" t="s">
        <v>337</v>
      </c>
      <c r="E263" s="13">
        <v>153.38699999999997</v>
      </c>
      <c r="F263" s="14">
        <f>Tabla1[[#This Row],[EFECTIVO]]*1.06</f>
        <v>0</v>
      </c>
      <c r="G263" s="15">
        <v>204.51599999999996</v>
      </c>
    </row>
    <row r="264" spans="2:7" x14ac:dyDescent="0.25">
      <c r="B264" s="16" t="s">
        <v>415</v>
      </c>
      <c r="C264" s="17" t="s">
        <v>416</v>
      </c>
      <c r="D264" s="17" t="s">
        <v>337</v>
      </c>
      <c r="E264" s="18">
        <v>177.8863125</v>
      </c>
      <c r="F264" s="19">
        <f>Tabla1[[#This Row],[EFECTIVO]]*1.06</f>
        <v>158.98940000000002</v>
      </c>
      <c r="G264" s="20">
        <v>237.18174999999999</v>
      </c>
    </row>
    <row r="265" spans="2:7" x14ac:dyDescent="0.25">
      <c r="B265" s="11"/>
      <c r="C265" s="12"/>
      <c r="D265" s="12"/>
      <c r="E265" s="13"/>
      <c r="F265" s="14"/>
      <c r="G265" s="15"/>
    </row>
    <row r="266" spans="2:7" x14ac:dyDescent="0.25">
      <c r="B266" s="21"/>
      <c r="C266" s="6" t="s">
        <v>417</v>
      </c>
      <c r="D266" s="6"/>
      <c r="E266" s="22"/>
      <c r="F266" s="23"/>
      <c r="G266" s="24"/>
    </row>
    <row r="267" spans="2:7" x14ac:dyDescent="0.25">
      <c r="B267" s="11" t="s">
        <v>418</v>
      </c>
      <c r="C267" s="12" t="s">
        <v>424</v>
      </c>
      <c r="D267" s="12" t="s">
        <v>338</v>
      </c>
      <c r="E267" s="13">
        <v>112.49250000000001</v>
      </c>
      <c r="F267" s="14">
        <f>Tabla1[[#This Row],[EFECTIVO]]*1.06</f>
        <v>252.61777973249997</v>
      </c>
      <c r="G267" s="15">
        <v>149.99</v>
      </c>
    </row>
    <row r="268" spans="2:7" x14ac:dyDescent="0.25">
      <c r="B268" s="16" t="s">
        <v>419</v>
      </c>
      <c r="C268" s="17" t="s">
        <v>383</v>
      </c>
      <c r="D268" s="17" t="s">
        <v>338</v>
      </c>
      <c r="E268" s="18">
        <v>132.08324999999999</v>
      </c>
      <c r="F268" s="19">
        <f>Tabla1[[#This Row],[EFECTIVO]]*1.06</f>
        <v>258.93997999999999</v>
      </c>
      <c r="G268" s="20">
        <v>176.11099999999999</v>
      </c>
    </row>
    <row r="269" spans="2:7" x14ac:dyDescent="0.25">
      <c r="B269" s="11" t="s">
        <v>420</v>
      </c>
      <c r="C269" s="12" t="s">
        <v>425</v>
      </c>
      <c r="D269" s="12" t="s">
        <v>338</v>
      </c>
      <c r="E269" s="13">
        <v>142.4025</v>
      </c>
      <c r="F269" s="14">
        <f>Tabla1[[#This Row],[EFECTIVO]]*1.06</f>
        <v>262.27609043999996</v>
      </c>
      <c r="G269" s="15">
        <v>189.87</v>
      </c>
    </row>
    <row r="270" spans="2:7" x14ac:dyDescent="0.25">
      <c r="B270" s="16" t="s">
        <v>421</v>
      </c>
      <c r="C270" s="17" t="s">
        <v>426</v>
      </c>
      <c r="D270" s="17" t="s">
        <v>338</v>
      </c>
      <c r="E270" s="18">
        <v>178.73899509374996</v>
      </c>
      <c r="F270" s="19">
        <f>Tabla1[[#This Row],[EFECTIVO]]*1.06</f>
        <v>0</v>
      </c>
      <c r="G270" s="20">
        <v>238.31866012499995</v>
      </c>
    </row>
    <row r="271" spans="2:7" x14ac:dyDescent="0.25">
      <c r="B271" s="11" t="s">
        <v>422</v>
      </c>
      <c r="C271" s="12" t="s">
        <v>427</v>
      </c>
      <c r="D271" s="12" t="s">
        <v>338</v>
      </c>
      <c r="E271" s="13">
        <v>183.21224999999998</v>
      </c>
      <c r="F271" s="14">
        <f>Tabla1[[#This Row],[EFECTIVO]]*1.06</f>
        <v>0</v>
      </c>
      <c r="G271" s="15">
        <v>244.28299999999999</v>
      </c>
    </row>
    <row r="272" spans="2:7" x14ac:dyDescent="0.25">
      <c r="B272" s="16" t="s">
        <v>423</v>
      </c>
      <c r="C272" s="17" t="s">
        <v>416</v>
      </c>
      <c r="D272" s="17" t="s">
        <v>338</v>
      </c>
      <c r="E272" s="18">
        <v>185.57270549999998</v>
      </c>
      <c r="F272" s="19">
        <f>Tabla1[[#This Row],[EFECTIVO]]*1.06</f>
        <v>45.580000000000005</v>
      </c>
      <c r="G272" s="20">
        <v>247.43027399999997</v>
      </c>
    </row>
    <row r="273" spans="2:7" x14ac:dyDescent="0.25">
      <c r="B273" s="11"/>
      <c r="C273" s="12"/>
      <c r="D273" s="12"/>
      <c r="E273" s="13"/>
      <c r="F273" s="14"/>
      <c r="G273" s="15"/>
    </row>
    <row r="274" spans="2:7" x14ac:dyDescent="0.25">
      <c r="B274" s="21"/>
      <c r="C274" s="6" t="s">
        <v>68</v>
      </c>
      <c r="D274" s="6"/>
      <c r="E274" s="22"/>
      <c r="F274" s="23"/>
      <c r="G274" s="24"/>
    </row>
    <row r="275" spans="2:7" x14ac:dyDescent="0.25">
      <c r="B275" s="16">
        <v>40080186</v>
      </c>
      <c r="C275" s="17" t="s">
        <v>69</v>
      </c>
      <c r="D275" s="17" t="s">
        <v>59</v>
      </c>
      <c r="E275" s="18">
        <v>31.63</v>
      </c>
      <c r="F275" s="19">
        <v>45</v>
      </c>
      <c r="G275" s="20">
        <v>43</v>
      </c>
    </row>
    <row r="276" spans="2:7" x14ac:dyDescent="0.25">
      <c r="B276" s="11">
        <v>40080190</v>
      </c>
      <c r="C276" s="12" t="s">
        <v>70</v>
      </c>
      <c r="D276" s="12" t="s">
        <v>59</v>
      </c>
      <c r="E276" s="13">
        <v>36.799999999999997</v>
      </c>
      <c r="F276" s="14">
        <v>55</v>
      </c>
      <c r="G276" s="15">
        <v>53</v>
      </c>
    </row>
    <row r="277" spans="2:7" x14ac:dyDescent="0.25">
      <c r="B277" s="16">
        <v>40080194</v>
      </c>
      <c r="C277" s="17" t="s">
        <v>71</v>
      </c>
      <c r="D277" s="17" t="s">
        <v>59</v>
      </c>
      <c r="E277" s="18">
        <v>37.03</v>
      </c>
      <c r="F277" s="19">
        <v>55</v>
      </c>
      <c r="G277" s="20">
        <v>53</v>
      </c>
    </row>
    <row r="278" spans="2:7" x14ac:dyDescent="0.25">
      <c r="B278" s="11">
        <v>40080182</v>
      </c>
      <c r="C278" s="12" t="s">
        <v>72</v>
      </c>
      <c r="D278" s="12" t="s">
        <v>59</v>
      </c>
      <c r="E278" s="13">
        <v>29.9</v>
      </c>
      <c r="F278" s="14">
        <v>45</v>
      </c>
      <c r="G278" s="15">
        <v>42</v>
      </c>
    </row>
    <row r="279" spans="2:7" x14ac:dyDescent="0.25">
      <c r="B279" s="16">
        <v>40080193</v>
      </c>
      <c r="C279" s="17" t="s">
        <v>73</v>
      </c>
      <c r="D279" s="17" t="s">
        <v>59</v>
      </c>
      <c r="E279" s="18">
        <v>35.65</v>
      </c>
      <c r="F279" s="19">
        <v>55</v>
      </c>
      <c r="G279" s="20">
        <v>50</v>
      </c>
    </row>
    <row r="280" spans="2:7" x14ac:dyDescent="0.25">
      <c r="B280" s="11">
        <v>40080177</v>
      </c>
      <c r="C280" s="12" t="s">
        <v>74</v>
      </c>
      <c r="D280" s="12" t="s">
        <v>59</v>
      </c>
      <c r="E280" s="13">
        <v>47.15</v>
      </c>
      <c r="F280" s="14">
        <v>70</v>
      </c>
      <c r="G280" s="15">
        <v>68</v>
      </c>
    </row>
    <row r="281" spans="2:7" x14ac:dyDescent="0.25">
      <c r="B281" s="16">
        <v>40080211</v>
      </c>
      <c r="C281" s="17" t="s">
        <v>75</v>
      </c>
      <c r="D281" s="17" t="s">
        <v>59</v>
      </c>
      <c r="E281" s="18">
        <v>36.799999999999997</v>
      </c>
      <c r="F281" s="19">
        <v>55</v>
      </c>
      <c r="G281" s="20">
        <v>50</v>
      </c>
    </row>
    <row r="282" spans="2:7" x14ac:dyDescent="0.25">
      <c r="B282" s="11">
        <v>40080228</v>
      </c>
      <c r="C282" s="12" t="s">
        <v>76</v>
      </c>
      <c r="D282" s="12" t="s">
        <v>59</v>
      </c>
      <c r="E282" s="13"/>
      <c r="F282" s="14">
        <v>63</v>
      </c>
      <c r="G282" s="15">
        <v>59</v>
      </c>
    </row>
    <row r="283" spans="2:7" x14ac:dyDescent="0.25">
      <c r="B283" s="16">
        <v>40080179</v>
      </c>
      <c r="C283" s="17" t="s">
        <v>77</v>
      </c>
      <c r="D283" s="17" t="s">
        <v>59</v>
      </c>
      <c r="E283" s="18">
        <v>48.3</v>
      </c>
      <c r="F283" s="19">
        <v>70</v>
      </c>
      <c r="G283" s="20">
        <v>66</v>
      </c>
    </row>
    <row r="284" spans="2:7" x14ac:dyDescent="0.25">
      <c r="B284" s="11">
        <v>40080174</v>
      </c>
      <c r="C284" s="12" t="s">
        <v>78</v>
      </c>
      <c r="D284" s="12" t="s">
        <v>59</v>
      </c>
      <c r="E284" s="13">
        <v>51.08</v>
      </c>
      <c r="F284" s="14">
        <v>75</v>
      </c>
      <c r="G284" s="15">
        <v>70</v>
      </c>
    </row>
    <row r="285" spans="2:7" x14ac:dyDescent="0.25">
      <c r="B285" s="16">
        <v>40080207</v>
      </c>
      <c r="C285" s="17" t="s">
        <v>79</v>
      </c>
      <c r="D285" s="17" t="s">
        <v>59</v>
      </c>
      <c r="E285" s="18">
        <v>57.5</v>
      </c>
      <c r="F285" s="19">
        <v>90</v>
      </c>
      <c r="G285" s="20">
        <v>86</v>
      </c>
    </row>
    <row r="286" spans="2:7" x14ac:dyDescent="0.25">
      <c r="B286" s="11">
        <v>40080197</v>
      </c>
      <c r="C286" s="12" t="s">
        <v>80</v>
      </c>
      <c r="D286" s="12" t="s">
        <v>59</v>
      </c>
      <c r="E286" s="13">
        <v>55.2</v>
      </c>
      <c r="F286" s="14">
        <v>80</v>
      </c>
      <c r="G286" s="15">
        <v>76</v>
      </c>
    </row>
    <row r="288" spans="2:7" x14ac:dyDescent="0.25">
      <c r="B288" s="21"/>
      <c r="C288" s="6" t="s">
        <v>174</v>
      </c>
      <c r="D288" s="6"/>
      <c r="E288" s="22"/>
      <c r="F288" s="23"/>
      <c r="G288" s="24"/>
    </row>
    <row r="289" spans="2:7" x14ac:dyDescent="0.25">
      <c r="B289" s="11">
        <v>40050159</v>
      </c>
      <c r="C289" s="12" t="s">
        <v>175</v>
      </c>
      <c r="D289" s="12" t="s">
        <v>59</v>
      </c>
      <c r="E289" s="13">
        <v>62.68</v>
      </c>
      <c r="F289" s="14">
        <v>86</v>
      </c>
      <c r="G289" s="15">
        <v>80</v>
      </c>
    </row>
    <row r="290" spans="2:7" x14ac:dyDescent="0.25">
      <c r="B290" s="16">
        <v>40050025</v>
      </c>
      <c r="C290" s="17" t="s">
        <v>176</v>
      </c>
      <c r="D290" s="17" t="s">
        <v>59</v>
      </c>
      <c r="E290" s="18">
        <v>61.24</v>
      </c>
      <c r="F290" s="19">
        <v>83</v>
      </c>
      <c r="G290" s="20">
        <v>79</v>
      </c>
    </row>
    <row r="291" spans="2:7" x14ac:dyDescent="0.25">
      <c r="B291" s="11">
        <v>40050299</v>
      </c>
      <c r="C291" s="12" t="s">
        <v>177</v>
      </c>
      <c r="D291" s="12" t="s">
        <v>59</v>
      </c>
      <c r="E291" s="13">
        <v>63.25</v>
      </c>
      <c r="F291" s="14">
        <v>86</v>
      </c>
      <c r="G291" s="15">
        <v>80</v>
      </c>
    </row>
    <row r="292" spans="2:7" x14ac:dyDescent="0.25">
      <c r="B292" s="16">
        <v>40050070</v>
      </c>
      <c r="C292" s="17" t="s">
        <v>178</v>
      </c>
      <c r="D292" s="17" t="s">
        <v>59</v>
      </c>
      <c r="E292" s="18">
        <v>75.33</v>
      </c>
      <c r="F292" s="19">
        <v>106</v>
      </c>
      <c r="G292" s="20">
        <v>98</v>
      </c>
    </row>
    <row r="293" spans="2:7" x14ac:dyDescent="0.25">
      <c r="B293" s="11">
        <v>40050118</v>
      </c>
      <c r="C293" s="12" t="s">
        <v>179</v>
      </c>
      <c r="D293" s="12" t="s">
        <v>59</v>
      </c>
      <c r="E293" s="13">
        <v>74.180000000000007</v>
      </c>
      <c r="F293" s="14">
        <v>101</v>
      </c>
      <c r="G293" s="15">
        <v>96</v>
      </c>
    </row>
    <row r="294" spans="2:7" x14ac:dyDescent="0.25">
      <c r="B294" s="16">
        <v>40050072</v>
      </c>
      <c r="C294" s="17" t="s">
        <v>180</v>
      </c>
      <c r="D294" s="17" t="s">
        <v>59</v>
      </c>
      <c r="E294" s="18">
        <v>82.8</v>
      </c>
      <c r="F294" s="19">
        <v>115</v>
      </c>
      <c r="G294" s="20">
        <v>110</v>
      </c>
    </row>
    <row r="295" spans="2:7" x14ac:dyDescent="0.25">
      <c r="B295" s="11">
        <v>40050119</v>
      </c>
      <c r="C295" s="12" t="s">
        <v>181</v>
      </c>
      <c r="D295" s="12" t="s">
        <v>59</v>
      </c>
      <c r="E295" s="13">
        <v>86.83</v>
      </c>
      <c r="F295" s="14">
        <v>126</v>
      </c>
      <c r="G295" s="15">
        <v>115</v>
      </c>
    </row>
    <row r="296" spans="2:7" x14ac:dyDescent="0.25">
      <c r="B296" s="16">
        <v>40050366</v>
      </c>
      <c r="C296" s="17" t="s">
        <v>182</v>
      </c>
      <c r="D296" s="17" t="s">
        <v>59</v>
      </c>
      <c r="E296" s="18">
        <v>82.8</v>
      </c>
      <c r="F296" s="19">
        <v>116</v>
      </c>
      <c r="G296" s="20">
        <v>110</v>
      </c>
    </row>
    <row r="297" spans="2:7" x14ac:dyDescent="0.25">
      <c r="B297" s="11">
        <v>40050143</v>
      </c>
      <c r="C297" s="12" t="s">
        <v>183</v>
      </c>
      <c r="D297" s="12" t="s">
        <v>59</v>
      </c>
      <c r="E297" s="13">
        <v>102.93</v>
      </c>
      <c r="F297" s="14">
        <v>152</v>
      </c>
      <c r="G297" s="15">
        <v>140</v>
      </c>
    </row>
    <row r="298" spans="2:7" x14ac:dyDescent="0.25">
      <c r="B298" s="16"/>
      <c r="C298" s="17"/>
      <c r="D298" s="17"/>
      <c r="E298" s="18"/>
      <c r="F298" s="19"/>
      <c r="G298" s="20"/>
    </row>
    <row r="300" spans="2:7" x14ac:dyDescent="0.25">
      <c r="B300" s="21"/>
      <c r="C300" s="6" t="s">
        <v>184</v>
      </c>
      <c r="D300" s="6"/>
      <c r="E300" s="22"/>
      <c r="F300" s="23"/>
      <c r="G300" s="24"/>
    </row>
    <row r="301" spans="2:7" x14ac:dyDescent="0.25">
      <c r="B301" s="11">
        <v>40160030</v>
      </c>
      <c r="C301" s="12" t="s">
        <v>185</v>
      </c>
      <c r="D301" s="12" t="s">
        <v>335</v>
      </c>
      <c r="E301" s="13">
        <v>63.02</v>
      </c>
      <c r="F301" s="14">
        <v>90</v>
      </c>
      <c r="G301" s="15">
        <v>81</v>
      </c>
    </row>
    <row r="302" spans="2:7" x14ac:dyDescent="0.25">
      <c r="B302" s="16">
        <v>40160021</v>
      </c>
      <c r="C302" s="17" t="s">
        <v>186</v>
      </c>
      <c r="D302" s="17" t="s">
        <v>335</v>
      </c>
      <c r="E302" s="18">
        <v>63.56</v>
      </c>
      <c r="F302" s="19">
        <v>90</v>
      </c>
      <c r="G302" s="20">
        <v>81</v>
      </c>
    </row>
    <row r="303" spans="2:7" x14ac:dyDescent="0.25">
      <c r="B303" s="11">
        <v>40160031</v>
      </c>
      <c r="C303" s="12" t="s">
        <v>187</v>
      </c>
      <c r="D303" s="12" t="s">
        <v>335</v>
      </c>
      <c r="E303" s="13">
        <v>85.09</v>
      </c>
      <c r="F303" s="14">
        <v>120</v>
      </c>
      <c r="G303" s="15">
        <v>110</v>
      </c>
    </row>
    <row r="304" spans="2:7" x14ac:dyDescent="0.25">
      <c r="B304" s="16">
        <v>40160025</v>
      </c>
      <c r="C304" s="17" t="s">
        <v>188</v>
      </c>
      <c r="D304" s="17" t="s">
        <v>335</v>
      </c>
      <c r="E304" s="18">
        <v>85.1</v>
      </c>
      <c r="F304" s="19">
        <v>120</v>
      </c>
      <c r="G304" s="20">
        <v>110</v>
      </c>
    </row>
    <row r="305" spans="2:7" x14ac:dyDescent="0.25">
      <c r="B305" s="11">
        <v>40160023</v>
      </c>
      <c r="C305" s="12" t="s">
        <v>189</v>
      </c>
      <c r="D305" s="12" t="s">
        <v>335</v>
      </c>
      <c r="E305" s="13">
        <v>84.53</v>
      </c>
      <c r="F305" s="14">
        <v>120</v>
      </c>
      <c r="G305" s="15">
        <v>110</v>
      </c>
    </row>
    <row r="306" spans="2:7" x14ac:dyDescent="0.25">
      <c r="B306" s="16">
        <v>40160022</v>
      </c>
      <c r="C306" s="17" t="s">
        <v>190</v>
      </c>
      <c r="D306" s="17" t="s">
        <v>335</v>
      </c>
      <c r="E306" s="18">
        <v>103.5</v>
      </c>
      <c r="F306" s="19">
        <v>145</v>
      </c>
      <c r="G306" s="20">
        <v>132</v>
      </c>
    </row>
    <row r="307" spans="2:7" x14ac:dyDescent="0.25">
      <c r="B307" s="11">
        <v>40160024</v>
      </c>
      <c r="C307" s="12" t="s">
        <v>191</v>
      </c>
      <c r="D307" s="12" t="s">
        <v>335</v>
      </c>
      <c r="E307" s="13">
        <v>108.1</v>
      </c>
      <c r="F307" s="14">
        <v>152</v>
      </c>
      <c r="G307" s="15">
        <v>138</v>
      </c>
    </row>
    <row r="309" spans="2:7" x14ac:dyDescent="0.25">
      <c r="B309" s="21"/>
      <c r="C309" s="6" t="s">
        <v>428</v>
      </c>
      <c r="D309" s="6"/>
      <c r="E309" s="22"/>
      <c r="F309" s="23"/>
      <c r="G309" s="24"/>
    </row>
    <row r="310" spans="2:7" x14ac:dyDescent="0.25">
      <c r="B310" s="11" t="s">
        <v>432</v>
      </c>
      <c r="C310" s="12" t="s">
        <v>452</v>
      </c>
      <c r="D310" s="12" t="s">
        <v>24</v>
      </c>
      <c r="E310" s="13">
        <v>31.372</v>
      </c>
      <c r="F310" s="14">
        <v>47</v>
      </c>
      <c r="G310" s="15">
        <v>45</v>
      </c>
    </row>
    <row r="311" spans="2:7" x14ac:dyDescent="0.25">
      <c r="B311" s="16" t="s">
        <v>437</v>
      </c>
      <c r="C311" s="17" t="s">
        <v>457</v>
      </c>
      <c r="D311" s="17" t="s">
        <v>24</v>
      </c>
      <c r="E311" s="18">
        <v>38.156999999999996</v>
      </c>
      <c r="F311" s="19">
        <v>56</v>
      </c>
      <c r="G311" s="20">
        <v>53</v>
      </c>
    </row>
    <row r="312" spans="2:7" x14ac:dyDescent="0.25">
      <c r="B312" s="11" t="s">
        <v>438</v>
      </c>
      <c r="C312" s="12" t="s">
        <v>458</v>
      </c>
      <c r="D312" s="12" t="s">
        <v>24</v>
      </c>
      <c r="E312" s="13">
        <v>54.348999999999997</v>
      </c>
      <c r="F312" s="14">
        <v>77</v>
      </c>
      <c r="G312" s="15">
        <v>73</v>
      </c>
    </row>
    <row r="313" spans="2:7" x14ac:dyDescent="0.25">
      <c r="B313" s="16" t="s">
        <v>440</v>
      </c>
      <c r="C313" s="17" t="s">
        <v>429</v>
      </c>
      <c r="D313" s="17" t="s">
        <v>24</v>
      </c>
      <c r="E313" s="18">
        <v>30.451999999999998</v>
      </c>
      <c r="F313" s="19">
        <v>46</v>
      </c>
      <c r="G313" s="20">
        <v>43</v>
      </c>
    </row>
    <row r="314" spans="2:7" x14ac:dyDescent="0.25">
      <c r="B314" s="11" t="s">
        <v>443</v>
      </c>
      <c r="C314" s="12" t="s">
        <v>462</v>
      </c>
      <c r="D314" s="12" t="s">
        <v>24</v>
      </c>
      <c r="E314" s="13">
        <v>64.526499999999999</v>
      </c>
      <c r="F314" s="14">
        <v>90</v>
      </c>
      <c r="G314" s="15">
        <v>85</v>
      </c>
    </row>
    <row r="315" spans="2:7" x14ac:dyDescent="0.25">
      <c r="B315" s="16" t="s">
        <v>447</v>
      </c>
      <c r="C315" s="17" t="s">
        <v>466</v>
      </c>
      <c r="D315" s="17" t="s">
        <v>24</v>
      </c>
      <c r="E315" s="18">
        <v>44.642999999999994</v>
      </c>
      <c r="F315" s="19">
        <v>64</v>
      </c>
      <c r="G315" s="20">
        <v>61</v>
      </c>
    </row>
    <row r="316" spans="2:7" x14ac:dyDescent="0.25">
      <c r="B316" s="11" t="s">
        <v>448</v>
      </c>
      <c r="C316" s="12" t="s">
        <v>467</v>
      </c>
      <c r="D316" s="12" t="s">
        <v>24</v>
      </c>
      <c r="E316" s="13">
        <v>51.531500000000001</v>
      </c>
      <c r="F316" s="14">
        <v>73</v>
      </c>
      <c r="G316" s="15">
        <v>69</v>
      </c>
    </row>
    <row r="317" spans="2:7" x14ac:dyDescent="0.25">
      <c r="B317" s="21"/>
      <c r="C317" s="6" t="s">
        <v>475</v>
      </c>
      <c r="D317" s="6"/>
      <c r="E317" s="22"/>
      <c r="F317" s="23"/>
      <c r="G317" s="24"/>
    </row>
    <row r="318" spans="2:7" x14ac:dyDescent="0.25">
      <c r="B318" s="11" t="s">
        <v>433</v>
      </c>
      <c r="C318" s="12" t="s">
        <v>453</v>
      </c>
      <c r="D318" s="12" t="s">
        <v>24</v>
      </c>
      <c r="E318" s="13">
        <v>47.529499999999992</v>
      </c>
      <c r="F318" s="14">
        <v>68</v>
      </c>
      <c r="G318" s="15">
        <v>64</v>
      </c>
    </row>
    <row r="319" spans="2:7" x14ac:dyDescent="0.25">
      <c r="B319" s="16" t="s">
        <v>441</v>
      </c>
      <c r="C319" s="17" t="s">
        <v>460</v>
      </c>
      <c r="D319" s="17" t="s">
        <v>24</v>
      </c>
      <c r="E319" s="18">
        <v>66.895499999999998</v>
      </c>
      <c r="F319" s="19">
        <v>93</v>
      </c>
      <c r="G319" s="20">
        <v>88</v>
      </c>
    </row>
    <row r="320" spans="2:7" x14ac:dyDescent="0.25">
      <c r="B320" s="11" t="s">
        <v>445</v>
      </c>
      <c r="C320" s="12" t="s">
        <v>464</v>
      </c>
      <c r="D320" s="12" t="s">
        <v>24</v>
      </c>
      <c r="E320" s="13">
        <v>60.144999999999989</v>
      </c>
      <c r="F320" s="14">
        <v>85</v>
      </c>
      <c r="G320" s="15">
        <v>80</v>
      </c>
    </row>
    <row r="321" spans="2:7" x14ac:dyDescent="0.25">
      <c r="B321" s="21"/>
      <c r="C321" s="6" t="s">
        <v>474</v>
      </c>
      <c r="D321" s="6"/>
      <c r="E321" s="22"/>
      <c r="F321" s="23"/>
      <c r="G321" s="24"/>
    </row>
    <row r="322" spans="2:7" x14ac:dyDescent="0.25">
      <c r="B322" s="11" t="s">
        <v>449</v>
      </c>
      <c r="C322" s="12" t="s">
        <v>468</v>
      </c>
      <c r="D322" s="12" t="s">
        <v>24</v>
      </c>
      <c r="E322" s="13">
        <v>56.487999999999992</v>
      </c>
      <c r="F322" s="14">
        <v>80</v>
      </c>
      <c r="G322" s="15">
        <v>75</v>
      </c>
    </row>
    <row r="323" spans="2:7" x14ac:dyDescent="0.25">
      <c r="B323" s="16" t="s">
        <v>451</v>
      </c>
      <c r="C323" s="17" t="s">
        <v>470</v>
      </c>
      <c r="D323" s="17" t="s">
        <v>24</v>
      </c>
      <c r="E323" s="18">
        <v>76.49799999999999</v>
      </c>
      <c r="F323" s="19">
        <v>106</v>
      </c>
      <c r="G323" s="20">
        <v>100</v>
      </c>
    </row>
    <row r="324" spans="2:7" x14ac:dyDescent="0.25">
      <c r="B324" s="11" t="s">
        <v>435</v>
      </c>
      <c r="C324" s="12" t="s">
        <v>455</v>
      </c>
      <c r="D324" s="12" t="s">
        <v>24</v>
      </c>
      <c r="E324" s="13">
        <v>29.313499999999998</v>
      </c>
      <c r="F324" s="14">
        <v>45</v>
      </c>
      <c r="G324" s="15">
        <v>42</v>
      </c>
    </row>
    <row r="325" spans="2:7" x14ac:dyDescent="0.25">
      <c r="B325" s="16" t="s">
        <v>436</v>
      </c>
      <c r="C325" s="17" t="s">
        <v>456</v>
      </c>
      <c r="D325" s="17" t="s">
        <v>24</v>
      </c>
      <c r="E325" s="18">
        <v>37.041499999999999</v>
      </c>
      <c r="F325" s="19">
        <v>55</v>
      </c>
      <c r="G325" s="20">
        <v>52</v>
      </c>
    </row>
    <row r="326" spans="2:7" x14ac:dyDescent="0.25">
      <c r="B326" s="21"/>
      <c r="C326" s="6" t="s">
        <v>473</v>
      </c>
      <c r="D326" s="6"/>
      <c r="E326" s="22"/>
      <c r="F326" s="23"/>
      <c r="G326" s="24"/>
    </row>
    <row r="327" spans="2:7" x14ac:dyDescent="0.25">
      <c r="B327" s="16" t="s">
        <v>439</v>
      </c>
      <c r="C327" s="17" t="s">
        <v>459</v>
      </c>
      <c r="D327" s="17" t="s">
        <v>24</v>
      </c>
      <c r="E327" s="18">
        <v>46.747499999999995</v>
      </c>
      <c r="F327" s="19">
        <v>67</v>
      </c>
      <c r="G327" s="20">
        <v>63</v>
      </c>
    </row>
    <row r="328" spans="2:7" x14ac:dyDescent="0.25">
      <c r="B328" s="21"/>
      <c r="C328" s="6" t="s">
        <v>472</v>
      </c>
      <c r="D328" s="6"/>
      <c r="E328" s="22"/>
      <c r="F328" s="23"/>
      <c r="G328" s="24"/>
    </row>
    <row r="329" spans="2:7" x14ac:dyDescent="0.25">
      <c r="B329" s="16" t="s">
        <v>442</v>
      </c>
      <c r="C329" s="17" t="s">
        <v>461</v>
      </c>
      <c r="D329" s="17" t="s">
        <v>24</v>
      </c>
      <c r="E329" s="18">
        <v>36.592999999999996</v>
      </c>
      <c r="F329" s="19">
        <v>54</v>
      </c>
      <c r="G329" s="20">
        <v>51</v>
      </c>
    </row>
    <row r="330" spans="2:7" x14ac:dyDescent="0.25">
      <c r="B330" s="11" t="s">
        <v>446</v>
      </c>
      <c r="C330" s="12" t="s">
        <v>465</v>
      </c>
      <c r="D330" s="12" t="s">
        <v>24</v>
      </c>
      <c r="E330" s="13">
        <v>81.626999999999995</v>
      </c>
      <c r="F330" s="14">
        <v>112</v>
      </c>
      <c r="G330" s="15">
        <v>106</v>
      </c>
    </row>
    <row r="331" spans="2:7" x14ac:dyDescent="0.25">
      <c r="B331" s="16"/>
      <c r="C331" s="17"/>
      <c r="D331" s="17"/>
      <c r="E331" s="18"/>
      <c r="F331" s="19"/>
      <c r="G331" s="20"/>
    </row>
    <row r="332" spans="2:7" x14ac:dyDescent="0.25">
      <c r="B332" s="21"/>
      <c r="C332" s="6" t="s">
        <v>471</v>
      </c>
      <c r="D332" s="6"/>
      <c r="E332" s="22"/>
      <c r="F332" s="23"/>
      <c r="G332" s="24"/>
    </row>
    <row r="333" spans="2:7" x14ac:dyDescent="0.25">
      <c r="B333" s="16" t="s">
        <v>444</v>
      </c>
      <c r="C333" s="17" t="s">
        <v>463</v>
      </c>
      <c r="D333" s="17" t="s">
        <v>24</v>
      </c>
      <c r="E333" s="18">
        <v>45.183499999999995</v>
      </c>
      <c r="F333" s="19">
        <v>65</v>
      </c>
      <c r="G333" s="20">
        <v>61</v>
      </c>
    </row>
    <row r="334" spans="2:7" x14ac:dyDescent="0.25">
      <c r="B334" s="11" t="s">
        <v>434</v>
      </c>
      <c r="C334" s="12" t="s">
        <v>454</v>
      </c>
      <c r="D334" s="12" t="s">
        <v>24</v>
      </c>
      <c r="E334" s="13">
        <v>42.4925</v>
      </c>
      <c r="F334" s="14">
        <v>62</v>
      </c>
      <c r="G334" s="15">
        <v>58</v>
      </c>
    </row>
    <row r="335" spans="2:7" x14ac:dyDescent="0.25">
      <c r="B335" s="16" t="s">
        <v>450</v>
      </c>
      <c r="C335" s="17" t="s">
        <v>469</v>
      </c>
      <c r="D335" s="17" t="s">
        <v>24</v>
      </c>
      <c r="E335" s="18">
        <v>84.513499999999993</v>
      </c>
      <c r="F335" s="19">
        <v>116</v>
      </c>
      <c r="G335" s="20">
        <v>110</v>
      </c>
    </row>
    <row r="337" spans="2:7" x14ac:dyDescent="0.25">
      <c r="B337" s="21"/>
      <c r="C337" s="6" t="s">
        <v>192</v>
      </c>
      <c r="D337" s="6"/>
      <c r="E337" s="22"/>
      <c r="F337" s="23"/>
      <c r="G337" s="24"/>
    </row>
    <row r="338" spans="2:7" x14ac:dyDescent="0.25">
      <c r="B338" s="16">
        <v>100338</v>
      </c>
      <c r="C338" s="17" t="s">
        <v>193</v>
      </c>
      <c r="D338" s="17" t="s">
        <v>59</v>
      </c>
      <c r="E338" s="18">
        <v>42.75</v>
      </c>
      <c r="F338" s="19">
        <v>60</v>
      </c>
      <c r="G338" s="20">
        <v>56</v>
      </c>
    </row>
    <row r="339" spans="2:7" x14ac:dyDescent="0.25">
      <c r="B339" s="11">
        <v>100534</v>
      </c>
      <c r="C339" s="12" t="s">
        <v>194</v>
      </c>
      <c r="D339" s="12" t="s">
        <v>59</v>
      </c>
      <c r="E339" s="13">
        <v>48.000999999999998</v>
      </c>
      <c r="F339" s="14">
        <v>70</v>
      </c>
      <c r="G339" s="15">
        <v>65</v>
      </c>
    </row>
    <row r="340" spans="2:7" x14ac:dyDescent="0.25">
      <c r="B340" s="16">
        <v>100339</v>
      </c>
      <c r="C340" s="17" t="s">
        <v>195</v>
      </c>
      <c r="D340" s="17" t="s">
        <v>59</v>
      </c>
      <c r="E340" s="18">
        <v>52.9</v>
      </c>
      <c r="F340" s="19">
        <v>75</v>
      </c>
      <c r="G340" s="20">
        <v>70</v>
      </c>
    </row>
    <row r="341" spans="2:7" x14ac:dyDescent="0.25">
      <c r="B341" s="11"/>
      <c r="C341" s="12" t="s">
        <v>197</v>
      </c>
      <c r="D341" s="12" t="s">
        <v>59</v>
      </c>
      <c r="E341" s="13">
        <v>55.97</v>
      </c>
      <c r="F341" s="14">
        <v>80</v>
      </c>
      <c r="G341" s="15">
        <v>75</v>
      </c>
    </row>
    <row r="342" spans="2:7" x14ac:dyDescent="0.25">
      <c r="B342" s="16">
        <v>100313</v>
      </c>
      <c r="C342" s="17" t="s">
        <v>196</v>
      </c>
      <c r="D342" s="17" t="s">
        <v>59</v>
      </c>
      <c r="E342" s="18">
        <v>57.994</v>
      </c>
      <c r="F342" s="19">
        <v>82</v>
      </c>
      <c r="G342" s="20">
        <v>76</v>
      </c>
    </row>
    <row r="343" spans="2:7" x14ac:dyDescent="0.25">
      <c r="B343" s="11"/>
      <c r="C343" s="12"/>
      <c r="D343" s="12"/>
      <c r="E343" s="13"/>
      <c r="F343" s="14"/>
      <c r="G343" s="15"/>
    </row>
    <row r="344" spans="2:7" x14ac:dyDescent="0.25">
      <c r="B344" s="21"/>
      <c r="C344" s="6" t="s">
        <v>121</v>
      </c>
      <c r="D344" s="6"/>
      <c r="E344" s="22"/>
      <c r="F344" s="23"/>
      <c r="G344" s="24"/>
    </row>
    <row r="345" spans="2:7" x14ac:dyDescent="0.25">
      <c r="B345" s="11">
        <v>331430</v>
      </c>
      <c r="C345" s="12" t="s">
        <v>310</v>
      </c>
      <c r="D345" s="12" t="s">
        <v>59</v>
      </c>
      <c r="E345" s="13">
        <v>59.898715763655687</v>
      </c>
      <c r="F345" s="14">
        <v>79.740165360366646</v>
      </c>
      <c r="G345" s="15">
        <v>74.87339470456962</v>
      </c>
    </row>
    <row r="346" spans="2:7" x14ac:dyDescent="0.25">
      <c r="B346" s="16">
        <v>331427</v>
      </c>
      <c r="C346" s="17" t="s">
        <v>119</v>
      </c>
      <c r="D346" s="17" t="s">
        <v>59</v>
      </c>
      <c r="E346" s="18">
        <v>71.85199999999999</v>
      </c>
      <c r="F346" s="19">
        <v>95.652974999999984</v>
      </c>
      <c r="G346" s="20">
        <v>89.814999999999984</v>
      </c>
    </row>
    <row r="347" spans="2:7" x14ac:dyDescent="0.25">
      <c r="B347" s="11">
        <v>331434</v>
      </c>
      <c r="C347" s="12" t="s">
        <v>120</v>
      </c>
      <c r="D347" s="12" t="s">
        <v>59</v>
      </c>
      <c r="E347" s="13">
        <v>67.930499999999995</v>
      </c>
      <c r="F347" s="14">
        <v>90.432478124999989</v>
      </c>
      <c r="G347" s="15">
        <v>84.913124999999994</v>
      </c>
    </row>
    <row r="348" spans="2:7" x14ac:dyDescent="0.25">
      <c r="B348" s="16">
        <v>331426</v>
      </c>
      <c r="C348" s="17" t="s">
        <v>311</v>
      </c>
      <c r="D348" s="17" t="s">
        <v>59</v>
      </c>
      <c r="E348" s="18">
        <v>68.910454294905691</v>
      </c>
      <c r="F348" s="19">
        <v>92.133150000000001</v>
      </c>
      <c r="G348" s="20">
        <v>86.51</v>
      </c>
    </row>
    <row r="349" spans="2:7" x14ac:dyDescent="0.25">
      <c r="B349" s="11">
        <v>331429</v>
      </c>
      <c r="C349" s="12" t="s">
        <v>312</v>
      </c>
      <c r="D349" s="12" t="s">
        <v>59</v>
      </c>
      <c r="E349" s="13">
        <v>75.497500000000002</v>
      </c>
      <c r="F349" s="14">
        <v>100.65315</v>
      </c>
      <c r="G349" s="15">
        <v>94.51</v>
      </c>
    </row>
    <row r="350" spans="2:7" x14ac:dyDescent="0.25">
      <c r="B350" s="16">
        <v>331428</v>
      </c>
      <c r="C350" s="17" t="s">
        <v>122</v>
      </c>
      <c r="D350" s="17" t="s">
        <v>59</v>
      </c>
      <c r="E350" s="18">
        <v>81.810999999999993</v>
      </c>
      <c r="F350" s="19">
        <v>109.17315000000001</v>
      </c>
      <c r="G350" s="20">
        <v>102.51</v>
      </c>
    </row>
    <row r="351" spans="2:7" x14ac:dyDescent="0.25">
      <c r="B351" s="11">
        <v>331436</v>
      </c>
      <c r="C351" s="12" t="s">
        <v>123</v>
      </c>
      <c r="D351" s="12" t="s">
        <v>59</v>
      </c>
      <c r="E351" s="13">
        <v>84.961999999999989</v>
      </c>
      <c r="F351" s="14">
        <v>113.43315</v>
      </c>
      <c r="G351" s="15">
        <v>106.51</v>
      </c>
    </row>
    <row r="352" spans="2:7" x14ac:dyDescent="0.25">
      <c r="B352" s="16">
        <v>331435</v>
      </c>
      <c r="C352" s="17" t="s">
        <v>313</v>
      </c>
      <c r="D352" s="17" t="s">
        <v>59</v>
      </c>
      <c r="E352" s="18">
        <v>40.824999999999996</v>
      </c>
      <c r="F352" s="19">
        <v>54.858149999999995</v>
      </c>
      <c r="G352" s="20">
        <v>51.51</v>
      </c>
    </row>
    <row r="353" spans="2:7" x14ac:dyDescent="0.25">
      <c r="B353" s="11">
        <v>331424</v>
      </c>
      <c r="C353" s="12" t="s">
        <v>314</v>
      </c>
      <c r="D353" s="12" t="s">
        <v>59</v>
      </c>
      <c r="E353" s="13">
        <v>54.268499999999996</v>
      </c>
      <c r="F353" s="14">
        <v>72.244940624999984</v>
      </c>
      <c r="G353" s="15">
        <v>67.835624999999993</v>
      </c>
    </row>
    <row r="354" spans="2:7" x14ac:dyDescent="0.25">
      <c r="B354" s="16">
        <v>331425</v>
      </c>
      <c r="C354" s="17" t="s">
        <v>315</v>
      </c>
      <c r="D354" s="17" t="s">
        <v>59</v>
      </c>
      <c r="E354" s="18">
        <v>47.724999999999994</v>
      </c>
      <c r="F354" s="19">
        <v>63.533906249999987</v>
      </c>
      <c r="G354" s="20">
        <v>59.656249999999993</v>
      </c>
    </row>
    <row r="355" spans="2:7" x14ac:dyDescent="0.25">
      <c r="B355" s="11">
        <v>331431</v>
      </c>
      <c r="C355" s="12" t="s">
        <v>316</v>
      </c>
      <c r="D355" s="12" t="s">
        <v>59</v>
      </c>
      <c r="E355" s="13">
        <v>61.248999999999995</v>
      </c>
      <c r="F355" s="14">
        <v>81.537731249999993</v>
      </c>
      <c r="G355" s="15">
        <v>76.561250000000001</v>
      </c>
    </row>
    <row r="356" spans="2:7" x14ac:dyDescent="0.25">
      <c r="B356" s="16">
        <v>331432</v>
      </c>
      <c r="C356" s="17" t="s">
        <v>317</v>
      </c>
      <c r="D356" s="17" t="s">
        <v>59</v>
      </c>
      <c r="E356" s="18">
        <v>64.802499999999995</v>
      </c>
      <c r="F356" s="19">
        <v>86.268328124999996</v>
      </c>
      <c r="G356" s="20">
        <v>81.003124999999997</v>
      </c>
    </row>
    <row r="357" spans="2:7" x14ac:dyDescent="0.25">
      <c r="B357" s="11">
        <v>236651</v>
      </c>
      <c r="C357" s="12" t="s">
        <v>318</v>
      </c>
      <c r="D357" s="12" t="s">
        <v>59</v>
      </c>
      <c r="E357" s="13">
        <v>70.103999999999999</v>
      </c>
      <c r="F357" s="14">
        <v>93.325949999999992</v>
      </c>
      <c r="G357" s="15">
        <v>87.63</v>
      </c>
    </row>
    <row r="358" spans="2:7" x14ac:dyDescent="0.25">
      <c r="B358" s="16">
        <v>331433</v>
      </c>
      <c r="C358" s="17" t="s">
        <v>319</v>
      </c>
      <c r="D358" s="17" t="s">
        <v>59</v>
      </c>
      <c r="E358" s="18">
        <v>68.137499999999989</v>
      </c>
      <c r="F358" s="19">
        <v>91.068150000000003</v>
      </c>
      <c r="G358" s="20">
        <v>85.51</v>
      </c>
    </row>
    <row r="359" spans="2:7" x14ac:dyDescent="0.25">
      <c r="B359" s="11">
        <v>292261</v>
      </c>
      <c r="C359" s="12" t="s">
        <v>320</v>
      </c>
      <c r="D359" s="12" t="s">
        <v>59</v>
      </c>
      <c r="E359" s="13">
        <v>70.149999999999991</v>
      </c>
      <c r="F359" s="14">
        <v>93.387187499999996</v>
      </c>
      <c r="G359" s="15">
        <v>87.6875</v>
      </c>
    </row>
    <row r="360" spans="2:7" x14ac:dyDescent="0.25">
      <c r="B360" s="16"/>
      <c r="C360" s="17"/>
      <c r="D360" s="17"/>
      <c r="E360" s="18"/>
      <c r="F360" s="19"/>
      <c r="G360" s="20"/>
    </row>
    <row r="361" spans="2:7" x14ac:dyDescent="0.25">
      <c r="B361" s="21"/>
      <c r="C361" s="6" t="s">
        <v>325</v>
      </c>
      <c r="D361" s="6"/>
      <c r="E361" s="22"/>
      <c r="F361" s="23"/>
      <c r="G361" s="24"/>
    </row>
    <row r="362" spans="2:7" x14ac:dyDescent="0.25">
      <c r="B362" s="16">
        <v>290453</v>
      </c>
      <c r="C362" s="17" t="s">
        <v>321</v>
      </c>
      <c r="D362" s="17" t="s">
        <v>343</v>
      </c>
      <c r="E362" s="18">
        <v>93.563999999999993</v>
      </c>
      <c r="F362" s="19">
        <f>Tabla1[[#This Row],[EFECTIVO]]*1.065</f>
        <v>0</v>
      </c>
      <c r="G362" s="20">
        <v>116.955</v>
      </c>
    </row>
    <row r="363" spans="2:7" x14ac:dyDescent="0.25">
      <c r="B363" s="11">
        <v>356966</v>
      </c>
      <c r="C363" s="12" t="s">
        <v>321</v>
      </c>
      <c r="D363" s="12" t="s">
        <v>343</v>
      </c>
      <c r="E363" s="13">
        <v>93.563999999999993</v>
      </c>
      <c r="F363" s="14">
        <f>Tabla1[[#This Row],[EFECTIVO]]*1.065</f>
        <v>125.70910546874998</v>
      </c>
      <c r="G363" s="15">
        <v>116.955</v>
      </c>
    </row>
    <row r="364" spans="2:7" x14ac:dyDescent="0.25">
      <c r="B364" s="16">
        <v>231135</v>
      </c>
      <c r="C364" s="17" t="s">
        <v>322</v>
      </c>
      <c r="D364" s="17" t="s">
        <v>343</v>
      </c>
      <c r="E364" s="18">
        <v>68.745741325000012</v>
      </c>
      <c r="F364" s="19">
        <f>Tabla1[[#This Row],[EFECTIVO]]*1.065</f>
        <v>146.97</v>
      </c>
      <c r="G364" s="20">
        <v>85.932176656250022</v>
      </c>
    </row>
    <row r="365" spans="2:7" x14ac:dyDescent="0.25">
      <c r="B365" s="11">
        <v>292245</v>
      </c>
      <c r="C365" s="12" t="s">
        <v>323</v>
      </c>
      <c r="D365" s="12" t="s">
        <v>343</v>
      </c>
      <c r="E365" s="13">
        <v>71.85199999999999</v>
      </c>
      <c r="F365" s="14">
        <f>Tabla1[[#This Row],[EFECTIVO]]*1.065</f>
        <v>154.62468749999999</v>
      </c>
      <c r="G365" s="15">
        <v>89.8035</v>
      </c>
    </row>
    <row r="366" spans="2:7" x14ac:dyDescent="0.25">
      <c r="B366" s="16"/>
      <c r="C366" s="17"/>
      <c r="D366" s="17"/>
      <c r="E366" s="18"/>
      <c r="F366" s="19"/>
      <c r="G366" s="20"/>
    </row>
    <row r="367" spans="2:7" x14ac:dyDescent="0.25">
      <c r="B367" s="21"/>
      <c r="C367" s="6" t="s">
        <v>324</v>
      </c>
      <c r="D367" s="6"/>
      <c r="E367" s="22"/>
      <c r="F367" s="23"/>
      <c r="G367" s="24"/>
    </row>
    <row r="368" spans="2:7" x14ac:dyDescent="0.25">
      <c r="B368" s="16">
        <v>289677</v>
      </c>
      <c r="C368" s="17" t="s">
        <v>326</v>
      </c>
      <c r="D368" s="17" t="s">
        <v>345</v>
      </c>
      <c r="E368" s="18">
        <v>94.429374999999993</v>
      </c>
      <c r="F368" s="19">
        <v>126.29928906249999</v>
      </c>
      <c r="G368" s="20">
        <v>118.03671874999999</v>
      </c>
    </row>
    <row r="369" spans="2:7" x14ac:dyDescent="0.25">
      <c r="B369" s="11">
        <v>289679</v>
      </c>
      <c r="C369" s="12" t="s">
        <v>327</v>
      </c>
      <c r="D369" s="12" t="s">
        <v>345</v>
      </c>
      <c r="E369" s="13">
        <v>110.39999999999999</v>
      </c>
      <c r="F369" s="14">
        <v>147.66</v>
      </c>
      <c r="G369" s="15">
        <v>138</v>
      </c>
    </row>
    <row r="370" spans="2:7" x14ac:dyDescent="0.25">
      <c r="B370" s="16">
        <v>289673</v>
      </c>
      <c r="C370" s="17" t="s">
        <v>328</v>
      </c>
      <c r="D370" s="17" t="s">
        <v>345</v>
      </c>
      <c r="E370" s="18">
        <v>116.14999999999999</v>
      </c>
      <c r="F370" s="19">
        <v>155.35062500000001</v>
      </c>
      <c r="G370" s="20">
        <v>145.1875</v>
      </c>
    </row>
    <row r="371" spans="2:7" x14ac:dyDescent="0.25">
      <c r="B371" s="11">
        <v>289675</v>
      </c>
      <c r="C371" s="12" t="s">
        <v>329</v>
      </c>
      <c r="D371" s="12" t="s">
        <v>345</v>
      </c>
      <c r="E371" s="13">
        <v>83.949999999999989</v>
      </c>
      <c r="F371" s="14">
        <v>112.283125</v>
      </c>
      <c r="G371" s="15">
        <v>104.93749999999999</v>
      </c>
    </row>
    <row r="372" spans="2:7" x14ac:dyDescent="0.25">
      <c r="B372" s="16"/>
      <c r="C372" s="17"/>
      <c r="D372" s="17"/>
      <c r="E372" s="18"/>
      <c r="F372" s="19"/>
      <c r="G372" s="20"/>
    </row>
    <row r="373" spans="2:7" x14ac:dyDescent="0.25">
      <c r="B373" s="21"/>
      <c r="C373" s="6" t="s">
        <v>60</v>
      </c>
      <c r="D373" s="6"/>
      <c r="E373" s="22"/>
      <c r="F373" s="23"/>
      <c r="G373" s="24"/>
    </row>
    <row r="374" spans="2:7" x14ac:dyDescent="0.25">
      <c r="B374" s="16" t="s">
        <v>541</v>
      </c>
      <c r="C374" s="17" t="s">
        <v>61</v>
      </c>
      <c r="D374" s="17" t="s">
        <v>59</v>
      </c>
      <c r="E374" s="18">
        <v>61.660124999999987</v>
      </c>
      <c r="F374" s="19">
        <v>88</v>
      </c>
      <c r="G374" s="20">
        <v>83</v>
      </c>
    </row>
    <row r="375" spans="2:7" x14ac:dyDescent="0.25">
      <c r="B375" s="11" t="s">
        <v>545</v>
      </c>
      <c r="C375" s="12" t="s">
        <v>62</v>
      </c>
      <c r="D375" s="12" t="s">
        <v>59</v>
      </c>
      <c r="E375" s="13">
        <v>57.62362499999999</v>
      </c>
      <c r="F375" s="14"/>
      <c r="G375" s="15"/>
    </row>
    <row r="376" spans="2:7" x14ac:dyDescent="0.25">
      <c r="B376" s="16"/>
      <c r="C376" s="17" t="s">
        <v>169</v>
      </c>
      <c r="D376" s="17" t="s">
        <v>59</v>
      </c>
      <c r="E376" s="18"/>
      <c r="F376" s="19"/>
      <c r="G376" s="20"/>
    </row>
    <row r="377" spans="2:7" x14ac:dyDescent="0.25">
      <c r="B377" s="11" t="s">
        <v>540</v>
      </c>
      <c r="C377" s="12" t="s">
        <v>63</v>
      </c>
      <c r="D377" s="12" t="s">
        <v>59</v>
      </c>
      <c r="E377" s="13">
        <v>79.617374999999996</v>
      </c>
      <c r="F377" s="14">
        <v>115</v>
      </c>
      <c r="G377" s="15">
        <v>107</v>
      </c>
    </row>
    <row r="378" spans="2:7" x14ac:dyDescent="0.25">
      <c r="B378" s="16" t="s">
        <v>542</v>
      </c>
      <c r="C378" s="17" t="s">
        <v>544</v>
      </c>
      <c r="D378" s="17" t="s">
        <v>59</v>
      </c>
      <c r="E378" s="18">
        <v>86.189625000000007</v>
      </c>
      <c r="F378" s="19">
        <v>122</v>
      </c>
      <c r="G378" s="20">
        <v>115</v>
      </c>
    </row>
    <row r="379" spans="2:7" x14ac:dyDescent="0.25">
      <c r="B379" s="11" t="s">
        <v>543</v>
      </c>
      <c r="C379" s="12" t="s">
        <v>64</v>
      </c>
      <c r="D379" s="12" t="s">
        <v>59</v>
      </c>
      <c r="E379" s="13">
        <v>78.961874999999992</v>
      </c>
      <c r="F379" s="14">
        <v>112</v>
      </c>
      <c r="G379" s="15">
        <v>106</v>
      </c>
    </row>
    <row r="380" spans="2:7" x14ac:dyDescent="0.25">
      <c r="B380" s="16" t="s">
        <v>539</v>
      </c>
      <c r="C380" s="17" t="s">
        <v>538</v>
      </c>
      <c r="D380" s="17" t="s">
        <v>59</v>
      </c>
      <c r="E380" s="18">
        <v>83.558999999999997</v>
      </c>
      <c r="F380" s="19">
        <v>120</v>
      </c>
      <c r="G380" s="20">
        <v>112</v>
      </c>
    </row>
    <row r="382" spans="2:7" x14ac:dyDescent="0.25">
      <c r="B382" s="21"/>
      <c r="C382" s="6" t="s">
        <v>206</v>
      </c>
      <c r="D382" s="6"/>
      <c r="E382" s="22"/>
      <c r="F382" s="23"/>
      <c r="G382" s="24"/>
    </row>
    <row r="383" spans="2:7" x14ac:dyDescent="0.25">
      <c r="B383" s="16">
        <v>40050283</v>
      </c>
      <c r="C383" s="17" t="s">
        <v>207</v>
      </c>
      <c r="D383" s="17" t="s">
        <v>59</v>
      </c>
      <c r="E383" s="18">
        <v>178.25</v>
      </c>
      <c r="F383" s="19">
        <v>250</v>
      </c>
      <c r="G383" s="20">
        <v>230</v>
      </c>
    </row>
    <row r="384" spans="2:7" x14ac:dyDescent="0.25">
      <c r="B384" s="11">
        <v>40050295</v>
      </c>
      <c r="C384" s="12" t="s">
        <v>208</v>
      </c>
      <c r="D384" s="12" t="s">
        <v>59</v>
      </c>
      <c r="E384" s="13">
        <v>196.65</v>
      </c>
      <c r="F384" s="14">
        <v>276</v>
      </c>
      <c r="G384" s="15">
        <v>250</v>
      </c>
    </row>
    <row r="385" spans="2:7" x14ac:dyDescent="0.25">
      <c r="B385" s="16">
        <v>40050296</v>
      </c>
      <c r="C385" s="17" t="s">
        <v>209</v>
      </c>
      <c r="D385" s="17" t="s">
        <v>59</v>
      </c>
      <c r="E385" s="18">
        <v>230</v>
      </c>
      <c r="F385" s="19">
        <v>330</v>
      </c>
      <c r="G385" s="20">
        <v>290</v>
      </c>
    </row>
    <row r="386" spans="2:7" x14ac:dyDescent="0.25">
      <c r="B386" s="11">
        <v>40050284</v>
      </c>
      <c r="C386" s="12" t="s">
        <v>210</v>
      </c>
      <c r="D386" s="12" t="s">
        <v>59</v>
      </c>
      <c r="E386" s="13">
        <v>239.15</v>
      </c>
      <c r="F386" s="14">
        <v>345</v>
      </c>
      <c r="G386" s="15">
        <v>299</v>
      </c>
    </row>
    <row r="387" spans="2:7" x14ac:dyDescent="0.25">
      <c r="B387" s="16"/>
      <c r="C387" s="17"/>
      <c r="D387" s="17"/>
      <c r="E387" s="18"/>
      <c r="F387" s="19"/>
      <c r="G387" s="20"/>
    </row>
    <row r="388" spans="2:7" x14ac:dyDescent="0.25">
      <c r="B388" s="21"/>
      <c r="C388" s="6" t="s">
        <v>239</v>
      </c>
      <c r="D388" s="6"/>
      <c r="E388" s="22"/>
      <c r="F388" s="23"/>
      <c r="G388" s="24"/>
    </row>
    <row r="389" spans="2:7" x14ac:dyDescent="0.25">
      <c r="B389" s="16"/>
      <c r="C389" s="17" t="s">
        <v>240</v>
      </c>
      <c r="D389" s="17" t="s">
        <v>59</v>
      </c>
      <c r="E389" s="18">
        <v>46</v>
      </c>
      <c r="F389" s="19">
        <v>90</v>
      </c>
      <c r="G389" s="20">
        <v>75</v>
      </c>
    </row>
    <row r="390" spans="2:7" x14ac:dyDescent="0.25">
      <c r="B390" s="11" t="s">
        <v>408</v>
      </c>
      <c r="C390" s="12" t="s">
        <v>409</v>
      </c>
      <c r="D390" s="12"/>
      <c r="E390" s="13"/>
      <c r="F390" s="14"/>
      <c r="G390" s="15"/>
    </row>
    <row r="391" spans="2:7" x14ac:dyDescent="0.25">
      <c r="B391" s="16">
        <v>40160001</v>
      </c>
      <c r="C391" s="17" t="s">
        <v>241</v>
      </c>
      <c r="D391" s="17" t="s">
        <v>59</v>
      </c>
      <c r="E391" s="18">
        <v>166.75</v>
      </c>
      <c r="F391" s="19">
        <v>234</v>
      </c>
      <c r="G391" s="20">
        <v>210</v>
      </c>
    </row>
    <row r="392" spans="2:7" x14ac:dyDescent="0.25">
      <c r="B392" s="11">
        <v>40160007</v>
      </c>
      <c r="C392" s="12" t="s">
        <v>242</v>
      </c>
      <c r="D392" s="12" t="s">
        <v>59</v>
      </c>
      <c r="E392" s="13">
        <v>184</v>
      </c>
      <c r="F392" s="14">
        <v>255</v>
      </c>
      <c r="G392" s="15">
        <v>230</v>
      </c>
    </row>
    <row r="393" spans="2:7" x14ac:dyDescent="0.25">
      <c r="B393" s="16"/>
      <c r="C393" s="17"/>
      <c r="D393" s="17"/>
      <c r="E393" s="18"/>
      <c r="F393" s="19"/>
      <c r="G393" s="20"/>
    </row>
    <row r="394" spans="2:7" x14ac:dyDescent="0.25">
      <c r="B394" s="21"/>
      <c r="C394" s="6" t="s">
        <v>244</v>
      </c>
      <c r="D394" s="6"/>
      <c r="E394" s="22"/>
      <c r="F394" s="23"/>
      <c r="G394" s="24"/>
    </row>
    <row r="395" spans="2:7" x14ac:dyDescent="0.25">
      <c r="B395" s="16">
        <v>40050221</v>
      </c>
      <c r="C395" s="17" t="s">
        <v>245</v>
      </c>
      <c r="D395" s="17" t="s">
        <v>342</v>
      </c>
      <c r="E395" s="18">
        <v>111.55</v>
      </c>
      <c r="F395" s="19">
        <v>157</v>
      </c>
      <c r="G395" s="20">
        <v>140</v>
      </c>
    </row>
    <row r="396" spans="2:7" x14ac:dyDescent="0.25">
      <c r="B396" s="11">
        <v>40050277</v>
      </c>
      <c r="C396" s="12" t="s">
        <v>246</v>
      </c>
      <c r="D396" s="12" t="s">
        <v>342</v>
      </c>
      <c r="E396" s="13">
        <v>116.15</v>
      </c>
      <c r="F396" s="14">
        <v>160</v>
      </c>
      <c r="G396" s="15">
        <v>145</v>
      </c>
    </row>
    <row r="397" spans="2:7" x14ac:dyDescent="0.25">
      <c r="B397" s="16">
        <v>40050281</v>
      </c>
      <c r="C397" s="17" t="s">
        <v>247</v>
      </c>
      <c r="D397" s="17" t="s">
        <v>342</v>
      </c>
      <c r="E397" s="18">
        <v>161</v>
      </c>
      <c r="F397" s="19">
        <v>220</v>
      </c>
      <c r="G397" s="20">
        <v>200</v>
      </c>
    </row>
    <row r="398" spans="2:7" x14ac:dyDescent="0.25">
      <c r="B398" s="11">
        <v>40050280</v>
      </c>
      <c r="C398" s="12" t="s">
        <v>248</v>
      </c>
      <c r="D398" s="12" t="s">
        <v>342</v>
      </c>
      <c r="E398" s="13">
        <v>172.5</v>
      </c>
      <c r="F398" s="14">
        <v>235</v>
      </c>
      <c r="G398" s="15">
        <v>220</v>
      </c>
    </row>
    <row r="399" spans="2:7" x14ac:dyDescent="0.25">
      <c r="B399" s="16">
        <v>40050279</v>
      </c>
      <c r="C399" s="17" t="s">
        <v>249</v>
      </c>
      <c r="D399" s="17" t="s">
        <v>342</v>
      </c>
      <c r="E399" s="18">
        <v>163.30000000000001</v>
      </c>
      <c r="F399" s="19">
        <v>230</v>
      </c>
      <c r="G399" s="20">
        <v>205</v>
      </c>
    </row>
    <row r="400" spans="2:7" x14ac:dyDescent="0.25">
      <c r="B400" s="11">
        <v>40050214</v>
      </c>
      <c r="C400" s="12" t="s">
        <v>250</v>
      </c>
      <c r="D400" s="12" t="s">
        <v>342</v>
      </c>
      <c r="E400" s="13">
        <v>173.08</v>
      </c>
      <c r="F400" s="14">
        <v>235</v>
      </c>
      <c r="G400" s="15">
        <v>220</v>
      </c>
    </row>
    <row r="401" spans="2:7" x14ac:dyDescent="0.25">
      <c r="B401" s="16">
        <v>40050278</v>
      </c>
      <c r="C401" s="17" t="s">
        <v>251</v>
      </c>
      <c r="D401" s="17" t="s">
        <v>342</v>
      </c>
      <c r="E401" s="18">
        <v>178.25</v>
      </c>
      <c r="F401" s="19">
        <v>250</v>
      </c>
      <c r="G401" s="20">
        <v>235</v>
      </c>
    </row>
    <row r="402" spans="2:7" x14ac:dyDescent="0.25">
      <c r="B402" s="11">
        <v>40050294</v>
      </c>
      <c r="C402" s="12" t="s">
        <v>252</v>
      </c>
      <c r="D402" s="12" t="s">
        <v>342</v>
      </c>
      <c r="E402" s="13">
        <v>202.4</v>
      </c>
      <c r="F402" s="14">
        <v>280</v>
      </c>
      <c r="G402" s="15">
        <v>255</v>
      </c>
    </row>
    <row r="403" spans="2:7" x14ac:dyDescent="0.25">
      <c r="B403" s="16">
        <v>40050218</v>
      </c>
      <c r="C403" s="17" t="s">
        <v>253</v>
      </c>
      <c r="D403" s="17" t="s">
        <v>342</v>
      </c>
      <c r="E403" s="18">
        <v>209.3</v>
      </c>
      <c r="F403" s="19">
        <v>290</v>
      </c>
      <c r="G403" s="20">
        <v>265</v>
      </c>
    </row>
    <row r="404" spans="2:7" x14ac:dyDescent="0.25">
      <c r="B404" s="11">
        <v>40050213</v>
      </c>
      <c r="C404" s="12" t="s">
        <v>254</v>
      </c>
      <c r="D404" s="12" t="s">
        <v>342</v>
      </c>
      <c r="E404" s="13">
        <v>218.5</v>
      </c>
      <c r="F404" s="14">
        <v>315</v>
      </c>
      <c r="G404" s="15">
        <v>275</v>
      </c>
    </row>
    <row r="405" spans="2:7" x14ac:dyDescent="0.25">
      <c r="B405" s="16">
        <v>40050312</v>
      </c>
      <c r="C405" s="17" t="s">
        <v>255</v>
      </c>
      <c r="D405" s="17" t="s">
        <v>342</v>
      </c>
      <c r="E405" s="18">
        <v>228.85</v>
      </c>
      <c r="F405" s="19">
        <v>330</v>
      </c>
      <c r="G405" s="20">
        <v>285</v>
      </c>
    </row>
    <row r="406" spans="2:7" x14ac:dyDescent="0.25">
      <c r="B406" s="11"/>
      <c r="C406" s="12"/>
      <c r="D406" s="12"/>
      <c r="E406" s="13"/>
      <c r="F406" s="14"/>
      <c r="G406" s="15"/>
    </row>
    <row r="407" spans="2:7" x14ac:dyDescent="0.25">
      <c r="B407" s="21"/>
      <c r="C407" s="6" t="s">
        <v>256</v>
      </c>
      <c r="D407" s="6"/>
      <c r="E407" s="22"/>
      <c r="F407" s="23"/>
      <c r="G407" s="24"/>
    </row>
    <row r="408" spans="2:7" x14ac:dyDescent="0.25">
      <c r="B408" s="11">
        <v>40160015</v>
      </c>
      <c r="C408" s="12" t="s">
        <v>257</v>
      </c>
      <c r="D408" s="12" t="s">
        <v>335</v>
      </c>
      <c r="E408" s="13">
        <v>115.92</v>
      </c>
      <c r="F408" s="14">
        <v>160</v>
      </c>
      <c r="G408" s="15">
        <v>145</v>
      </c>
    </row>
    <row r="409" spans="2:7" x14ac:dyDescent="0.25">
      <c r="B409" s="16">
        <v>40160009</v>
      </c>
      <c r="C409" s="17" t="s">
        <v>258</v>
      </c>
      <c r="D409" s="17" t="s">
        <v>335</v>
      </c>
      <c r="E409" s="18">
        <v>172.5</v>
      </c>
      <c r="F409" s="19">
        <v>240</v>
      </c>
      <c r="G409" s="20">
        <v>220</v>
      </c>
    </row>
    <row r="410" spans="2:7" x14ac:dyDescent="0.25">
      <c r="B410" s="11">
        <v>40160002</v>
      </c>
      <c r="C410" s="12" t="s">
        <v>259</v>
      </c>
      <c r="D410" s="12" t="s">
        <v>335</v>
      </c>
      <c r="E410" s="13">
        <v>174.8</v>
      </c>
      <c r="F410" s="14">
        <v>240</v>
      </c>
      <c r="G410" s="15">
        <v>220</v>
      </c>
    </row>
    <row r="411" spans="2:7" x14ac:dyDescent="0.25">
      <c r="B411" s="16">
        <v>40160005</v>
      </c>
      <c r="C411" s="17" t="s">
        <v>260</v>
      </c>
      <c r="D411" s="17" t="s">
        <v>335</v>
      </c>
      <c r="E411" s="18">
        <v>178.25</v>
      </c>
      <c r="F411" s="19">
        <v>250</v>
      </c>
      <c r="G411" s="20">
        <v>220</v>
      </c>
    </row>
    <row r="412" spans="2:7" x14ac:dyDescent="0.25">
      <c r="B412" s="11">
        <v>40160006</v>
      </c>
      <c r="C412" s="12" t="s">
        <v>261</v>
      </c>
      <c r="D412" s="12" t="s">
        <v>335</v>
      </c>
      <c r="E412" s="13">
        <v>172.5</v>
      </c>
      <c r="F412" s="14">
        <v>245</v>
      </c>
      <c r="G412" s="15">
        <v>220</v>
      </c>
    </row>
    <row r="413" spans="2:7" x14ac:dyDescent="0.25">
      <c r="B413" s="16">
        <v>40160003</v>
      </c>
      <c r="C413" s="17" t="s">
        <v>262</v>
      </c>
      <c r="D413" s="17" t="s">
        <v>335</v>
      </c>
      <c r="E413" s="18">
        <v>202.4</v>
      </c>
      <c r="F413" s="19">
        <v>280</v>
      </c>
      <c r="G413" s="20">
        <v>255</v>
      </c>
    </row>
    <row r="414" spans="2:7" x14ac:dyDescent="0.25">
      <c r="B414" s="11">
        <v>40160010</v>
      </c>
      <c r="C414" s="12" t="s">
        <v>263</v>
      </c>
      <c r="D414" s="12" t="s">
        <v>335</v>
      </c>
      <c r="E414" s="13">
        <v>209.3</v>
      </c>
      <c r="F414" s="14">
        <v>290</v>
      </c>
      <c r="G414" s="15">
        <v>265</v>
      </c>
    </row>
    <row r="415" spans="2:7" x14ac:dyDescent="0.25">
      <c r="B415" s="16">
        <v>40160004</v>
      </c>
      <c r="C415" s="17" t="s">
        <v>264</v>
      </c>
      <c r="D415" s="17" t="s">
        <v>335</v>
      </c>
      <c r="E415" s="18">
        <v>218.5</v>
      </c>
      <c r="F415" s="19">
        <v>305</v>
      </c>
      <c r="G415" s="20">
        <v>275</v>
      </c>
    </row>
    <row r="416" spans="2:7" x14ac:dyDescent="0.25">
      <c r="B416" s="11"/>
      <c r="C416" s="12"/>
      <c r="D416" s="12"/>
      <c r="E416" s="13"/>
      <c r="F416" s="14"/>
      <c r="G416" s="15"/>
    </row>
    <row r="417" spans="2:7" x14ac:dyDescent="0.25">
      <c r="B417" s="16"/>
      <c r="C417" s="17"/>
      <c r="D417" s="17"/>
      <c r="E417" s="18"/>
      <c r="F417" s="19"/>
      <c r="G417" s="20"/>
    </row>
    <row r="418" spans="2:7" x14ac:dyDescent="0.25">
      <c r="B418" s="11"/>
      <c r="C418" s="12"/>
      <c r="D418" s="12"/>
      <c r="E418" s="13"/>
      <c r="F418" s="14"/>
      <c r="G418" s="15"/>
    </row>
    <row r="419" spans="2:7" x14ac:dyDescent="0.25">
      <c r="B419" s="21"/>
      <c r="C419" s="6" t="s">
        <v>265</v>
      </c>
      <c r="D419" s="6"/>
      <c r="E419" s="22"/>
      <c r="F419" s="23"/>
      <c r="G419" s="24"/>
    </row>
    <row r="420" spans="2:7" x14ac:dyDescent="0.25">
      <c r="B420" s="11">
        <v>40050348</v>
      </c>
      <c r="C420" s="12" t="s">
        <v>266</v>
      </c>
      <c r="D420" s="12" t="s">
        <v>343</v>
      </c>
      <c r="E420" s="13">
        <v>111.55</v>
      </c>
      <c r="F420" s="14">
        <v>155</v>
      </c>
      <c r="G420" s="15">
        <v>145</v>
      </c>
    </row>
    <row r="421" spans="2:7" x14ac:dyDescent="0.25">
      <c r="B421" s="16">
        <v>40050318</v>
      </c>
      <c r="C421" s="17" t="s">
        <v>267</v>
      </c>
      <c r="D421" s="17" t="s">
        <v>343</v>
      </c>
      <c r="E421" s="18">
        <v>212.75</v>
      </c>
      <c r="F421" s="19">
        <v>295</v>
      </c>
      <c r="G421" s="20">
        <v>275</v>
      </c>
    </row>
    <row r="422" spans="2:7" x14ac:dyDescent="0.25">
      <c r="B422" s="11"/>
      <c r="C422" s="12"/>
      <c r="D422" s="12"/>
      <c r="E422" s="13"/>
      <c r="F422" s="14"/>
      <c r="G422" s="15"/>
    </row>
    <row r="423" spans="2:7" x14ac:dyDescent="0.25">
      <c r="B423" s="21"/>
      <c r="C423" s="6" t="s">
        <v>268</v>
      </c>
      <c r="D423" s="6"/>
      <c r="E423" s="22"/>
      <c r="F423" s="23"/>
      <c r="G423" s="24"/>
    </row>
    <row r="424" spans="2:7" x14ac:dyDescent="0.25">
      <c r="B424" s="11">
        <v>40050345</v>
      </c>
      <c r="C424" s="12" t="s">
        <v>269</v>
      </c>
      <c r="D424" s="12" t="s">
        <v>344</v>
      </c>
      <c r="E424" s="13">
        <v>110.4</v>
      </c>
      <c r="F424" s="14">
        <v>155</v>
      </c>
      <c r="G424" s="15">
        <v>145</v>
      </c>
    </row>
    <row r="425" spans="2:7" x14ac:dyDescent="0.25">
      <c r="B425" s="16">
        <v>40050339</v>
      </c>
      <c r="C425" s="17" t="s">
        <v>270</v>
      </c>
      <c r="D425" s="17" t="s">
        <v>344</v>
      </c>
      <c r="E425" s="18">
        <v>170.2</v>
      </c>
      <c r="F425" s="19">
        <v>240</v>
      </c>
      <c r="G425" s="20">
        <v>220</v>
      </c>
    </row>
    <row r="426" spans="2:7" x14ac:dyDescent="0.25">
      <c r="B426" s="11"/>
      <c r="C426" s="12"/>
      <c r="D426" s="12"/>
      <c r="E426" s="13"/>
      <c r="F426" s="14"/>
      <c r="G426" s="15"/>
    </row>
    <row r="427" spans="2:7" x14ac:dyDescent="0.25">
      <c r="B427" s="21"/>
      <c r="C427" s="6" t="s">
        <v>271</v>
      </c>
      <c r="D427" s="6"/>
      <c r="E427" s="22"/>
      <c r="F427" s="23"/>
      <c r="G427" s="24"/>
    </row>
    <row r="428" spans="2:7" x14ac:dyDescent="0.25">
      <c r="B428" s="11">
        <v>40160017</v>
      </c>
      <c r="C428" s="12" t="s">
        <v>272</v>
      </c>
      <c r="D428" s="12" t="s">
        <v>343</v>
      </c>
      <c r="E428" s="13">
        <v>109.25</v>
      </c>
      <c r="F428" s="14">
        <v>155</v>
      </c>
      <c r="G428" s="15">
        <v>145</v>
      </c>
    </row>
    <row r="429" spans="2:7" x14ac:dyDescent="0.25">
      <c r="B429" s="16">
        <v>40160012</v>
      </c>
      <c r="C429" s="17" t="s">
        <v>273</v>
      </c>
      <c r="D429" s="17" t="s">
        <v>343</v>
      </c>
      <c r="E429" s="18">
        <v>204.7</v>
      </c>
      <c r="F429" s="19">
        <v>287</v>
      </c>
      <c r="G429" s="20">
        <v>275</v>
      </c>
    </row>
    <row r="430" spans="2:7" x14ac:dyDescent="0.25">
      <c r="B430" s="11">
        <v>40160019</v>
      </c>
      <c r="C430" s="12" t="s">
        <v>274</v>
      </c>
      <c r="D430" s="12" t="s">
        <v>343</v>
      </c>
      <c r="E430" s="13">
        <v>212.75</v>
      </c>
      <c r="F430" s="14">
        <v>298</v>
      </c>
      <c r="G430" s="15">
        <v>275</v>
      </c>
    </row>
    <row r="431" spans="2:7" x14ac:dyDescent="0.25">
      <c r="B431" s="21"/>
      <c r="C431" s="6" t="s">
        <v>275</v>
      </c>
      <c r="D431" s="6"/>
      <c r="E431" s="22"/>
      <c r="F431" s="23"/>
      <c r="G431" s="24"/>
    </row>
    <row r="432" spans="2:7" x14ac:dyDescent="0.25">
      <c r="B432" s="11">
        <v>40080247</v>
      </c>
      <c r="C432" s="12" t="s">
        <v>276</v>
      </c>
      <c r="D432" s="12" t="s">
        <v>335</v>
      </c>
      <c r="E432" s="13">
        <v>87.4</v>
      </c>
      <c r="F432" s="14">
        <v>125</v>
      </c>
      <c r="G432" s="15">
        <v>118</v>
      </c>
    </row>
    <row r="433" spans="2:7" x14ac:dyDescent="0.25">
      <c r="B433" s="16">
        <v>40080246</v>
      </c>
      <c r="C433" s="17" t="s">
        <v>277</v>
      </c>
      <c r="D433" s="17" t="s">
        <v>335</v>
      </c>
      <c r="E433" s="18">
        <v>87.58</v>
      </c>
      <c r="F433" s="19">
        <v>125</v>
      </c>
      <c r="G433" s="20">
        <v>118</v>
      </c>
    </row>
    <row r="434" spans="2:7" x14ac:dyDescent="0.25">
      <c r="B434" s="11">
        <v>40080248</v>
      </c>
      <c r="C434" s="12" t="s">
        <v>278</v>
      </c>
      <c r="D434" s="12" t="s">
        <v>335</v>
      </c>
      <c r="E434" s="13">
        <v>113.75</v>
      </c>
      <c r="F434" s="14">
        <v>165</v>
      </c>
      <c r="G434" s="15">
        <v>154</v>
      </c>
    </row>
    <row r="435" spans="2:7" x14ac:dyDescent="0.25">
      <c r="B435" s="16">
        <v>40080249</v>
      </c>
      <c r="C435" s="17" t="s">
        <v>279</v>
      </c>
      <c r="D435" s="17" t="s">
        <v>335</v>
      </c>
      <c r="E435" s="18">
        <v>116.15</v>
      </c>
      <c r="F435" s="19">
        <v>168</v>
      </c>
      <c r="G435" s="20">
        <v>157</v>
      </c>
    </row>
    <row r="436" spans="2:7" x14ac:dyDescent="0.25">
      <c r="B436" s="11">
        <v>40080283</v>
      </c>
      <c r="C436" s="12" t="s">
        <v>280</v>
      </c>
      <c r="D436" s="12" t="s">
        <v>335</v>
      </c>
      <c r="E436" s="13">
        <v>117.3</v>
      </c>
      <c r="F436" s="14">
        <v>170</v>
      </c>
      <c r="G436" s="15">
        <v>158</v>
      </c>
    </row>
    <row r="437" spans="2:7" x14ac:dyDescent="0.25">
      <c r="B437" s="16">
        <v>40080250</v>
      </c>
      <c r="C437" s="17" t="s">
        <v>281</v>
      </c>
      <c r="D437" s="17" t="s">
        <v>335</v>
      </c>
      <c r="E437" s="18">
        <v>124.2</v>
      </c>
      <c r="F437" s="19">
        <v>180</v>
      </c>
      <c r="G437" s="20">
        <v>170</v>
      </c>
    </row>
    <row r="438" spans="2:7" x14ac:dyDescent="0.25">
      <c r="B438" s="11"/>
      <c r="C438" s="12"/>
      <c r="D438" s="12"/>
      <c r="E438" s="13"/>
      <c r="F438" s="14"/>
      <c r="G438" s="15"/>
    </row>
    <row r="439" spans="2:7" x14ac:dyDescent="0.25">
      <c r="B439" s="21"/>
      <c r="C439" s="6" t="s">
        <v>282</v>
      </c>
      <c r="D439" s="6"/>
      <c r="E439" s="22"/>
      <c r="F439" s="23"/>
      <c r="G439" s="24"/>
    </row>
    <row r="440" spans="2:7" x14ac:dyDescent="0.25">
      <c r="B440" s="11">
        <v>40080105</v>
      </c>
      <c r="C440" s="12" t="s">
        <v>283</v>
      </c>
      <c r="D440" s="12" t="s">
        <v>343</v>
      </c>
      <c r="E440" s="13">
        <v>80.5</v>
      </c>
      <c r="F440" s="14">
        <v>122</v>
      </c>
      <c r="G440" s="15">
        <v>110</v>
      </c>
    </row>
    <row r="441" spans="2:7" x14ac:dyDescent="0.25">
      <c r="B441" s="16">
        <v>40080116</v>
      </c>
      <c r="C441" s="17" t="s">
        <v>284</v>
      </c>
      <c r="D441" s="17" t="s">
        <v>343</v>
      </c>
      <c r="E441" s="18">
        <v>89.7</v>
      </c>
      <c r="F441" s="19">
        <v>132</v>
      </c>
      <c r="G441" s="20">
        <v>120</v>
      </c>
    </row>
    <row r="442" spans="2:7" x14ac:dyDescent="0.25">
      <c r="B442" s="11">
        <v>40080106</v>
      </c>
      <c r="C442" s="12" t="s">
        <v>285</v>
      </c>
      <c r="D442" s="12" t="s">
        <v>343</v>
      </c>
      <c r="E442" s="13">
        <v>103.5</v>
      </c>
      <c r="F442" s="14">
        <v>165</v>
      </c>
      <c r="G442" s="15">
        <v>150</v>
      </c>
    </row>
    <row r="443" spans="2:7" x14ac:dyDescent="0.25">
      <c r="B443" s="16">
        <v>40080117</v>
      </c>
      <c r="C443" s="17" t="s">
        <v>286</v>
      </c>
      <c r="D443" s="17" t="s">
        <v>343</v>
      </c>
      <c r="E443" s="18">
        <v>109.25</v>
      </c>
      <c r="F443" s="19">
        <v>155</v>
      </c>
      <c r="G443" s="20">
        <v>140</v>
      </c>
    </row>
    <row r="444" spans="2:7" x14ac:dyDescent="0.25">
      <c r="B444" s="11">
        <v>40080115</v>
      </c>
      <c r="C444" s="12" t="s">
        <v>287</v>
      </c>
      <c r="D444" s="12" t="s">
        <v>343</v>
      </c>
      <c r="E444" s="13">
        <v>126.06</v>
      </c>
      <c r="F444" s="14">
        <v>185</v>
      </c>
      <c r="G444" s="15">
        <v>168</v>
      </c>
    </row>
    <row r="445" spans="2:7" x14ac:dyDescent="0.25">
      <c r="B445" s="16">
        <v>40080104</v>
      </c>
      <c r="C445" s="17" t="s">
        <v>288</v>
      </c>
      <c r="D445" s="17" t="s">
        <v>343</v>
      </c>
      <c r="E445" s="18">
        <v>124.2</v>
      </c>
      <c r="F445" s="19">
        <v>190</v>
      </c>
      <c r="G445" s="20">
        <v>170</v>
      </c>
    </row>
    <row r="446" spans="2:7" x14ac:dyDescent="0.25">
      <c r="B446" s="11"/>
      <c r="C446" s="12"/>
      <c r="D446" s="12"/>
      <c r="E446" s="13"/>
      <c r="F446" s="14"/>
      <c r="G446" s="15"/>
    </row>
    <row r="447" spans="2:7" x14ac:dyDescent="0.25">
      <c r="B447" s="21"/>
      <c r="C447" s="6" t="s">
        <v>50</v>
      </c>
      <c r="D447" s="6"/>
      <c r="E447" s="22"/>
      <c r="F447" s="23"/>
      <c r="G447" s="24"/>
    </row>
    <row r="448" spans="2:7" x14ac:dyDescent="0.25">
      <c r="B448" s="11" t="s">
        <v>531</v>
      </c>
      <c r="C448" s="12" t="s">
        <v>51</v>
      </c>
      <c r="D448" s="12" t="s">
        <v>59</v>
      </c>
      <c r="E448" s="13">
        <v>103.28437499999998</v>
      </c>
      <c r="F448" s="14">
        <v>151.48374999999999</v>
      </c>
      <c r="G448" s="15">
        <v>137.71249999999998</v>
      </c>
    </row>
    <row r="449" spans="2:7" x14ac:dyDescent="0.25">
      <c r="B449" s="16" t="s">
        <v>526</v>
      </c>
      <c r="C449" s="17" t="s">
        <v>52</v>
      </c>
      <c r="D449" s="17" t="s">
        <v>59</v>
      </c>
      <c r="E449" s="18">
        <v>137.05987499999998</v>
      </c>
      <c r="F449" s="19">
        <v>201.02114999999998</v>
      </c>
      <c r="G449" s="20">
        <v>182.74649999999997</v>
      </c>
    </row>
    <row r="450" spans="2:7" x14ac:dyDescent="0.25">
      <c r="B450" s="11" t="s">
        <v>527</v>
      </c>
      <c r="C450" s="12" t="s">
        <v>53</v>
      </c>
      <c r="D450" s="12" t="s">
        <v>59</v>
      </c>
      <c r="E450" s="13">
        <v>82.730999999999995</v>
      </c>
      <c r="F450" s="14">
        <v>121.33880000000001</v>
      </c>
      <c r="G450" s="15">
        <v>110.51</v>
      </c>
    </row>
    <row r="451" spans="2:7" x14ac:dyDescent="0.25">
      <c r="B451" s="16" t="s">
        <v>533</v>
      </c>
      <c r="C451" s="17" t="s">
        <v>534</v>
      </c>
      <c r="D451" s="17"/>
      <c r="E451" s="18"/>
      <c r="F451" s="19"/>
      <c r="G451" s="20"/>
    </row>
    <row r="452" spans="2:7" x14ac:dyDescent="0.25">
      <c r="B452" s="11" t="s">
        <v>532</v>
      </c>
      <c r="C452" s="12" t="s">
        <v>54</v>
      </c>
      <c r="D452" s="12" t="s">
        <v>59</v>
      </c>
      <c r="E452" s="13">
        <v>165.07387499999999</v>
      </c>
      <c r="F452" s="14">
        <v>242.10835</v>
      </c>
      <c r="G452" s="15">
        <v>220.51</v>
      </c>
    </row>
    <row r="453" spans="2:7" x14ac:dyDescent="0.25">
      <c r="B453" s="16" t="s">
        <v>528</v>
      </c>
      <c r="C453" s="17" t="s">
        <v>55</v>
      </c>
      <c r="D453" s="17" t="s">
        <v>59</v>
      </c>
      <c r="E453" s="18">
        <v>181.54762500000001</v>
      </c>
      <c r="F453" s="19">
        <v>266.26985000000002</v>
      </c>
      <c r="G453" s="20">
        <v>242.51</v>
      </c>
    </row>
    <row r="454" spans="2:7" x14ac:dyDescent="0.25">
      <c r="B454" s="11" t="s">
        <v>529</v>
      </c>
      <c r="C454" s="12" t="s">
        <v>530</v>
      </c>
      <c r="D454" s="12"/>
      <c r="E454" s="13"/>
      <c r="F454" s="14"/>
      <c r="G454" s="15"/>
    </row>
    <row r="455" spans="2:7" x14ac:dyDescent="0.25">
      <c r="B455" s="16" t="s">
        <v>535</v>
      </c>
      <c r="C455" s="17" t="s">
        <v>56</v>
      </c>
      <c r="D455" s="17" t="s">
        <v>59</v>
      </c>
      <c r="E455" s="18">
        <v>172.92262500000001</v>
      </c>
      <c r="F455" s="19">
        <v>253.61985000000001</v>
      </c>
      <c r="G455" s="20">
        <v>230.5635</v>
      </c>
    </row>
    <row r="456" spans="2:7" x14ac:dyDescent="0.25">
      <c r="B456" s="11" t="s">
        <v>536</v>
      </c>
      <c r="C456" s="12" t="s">
        <v>57</v>
      </c>
      <c r="D456" s="12" t="s">
        <v>59</v>
      </c>
      <c r="E456" s="13">
        <v>209.751375</v>
      </c>
      <c r="F456" s="14">
        <v>307.63535000000002</v>
      </c>
      <c r="G456" s="15">
        <v>279.66849999999999</v>
      </c>
    </row>
    <row r="457" spans="2:7" x14ac:dyDescent="0.25">
      <c r="B457" s="16" t="s">
        <v>537</v>
      </c>
      <c r="C457" s="17" t="s">
        <v>58</v>
      </c>
      <c r="D457" s="17" t="s">
        <v>59</v>
      </c>
      <c r="E457" s="18">
        <v>199.66012499999999</v>
      </c>
      <c r="F457" s="19">
        <v>292.83485000000002</v>
      </c>
      <c r="G457" s="20">
        <v>266.51</v>
      </c>
    </row>
    <row r="458" spans="2:7" x14ac:dyDescent="0.25">
      <c r="B458" s="11" t="s">
        <v>524</v>
      </c>
      <c r="C458" s="12" t="s">
        <v>525</v>
      </c>
      <c r="D458" s="12" t="s">
        <v>59</v>
      </c>
      <c r="E458" s="13">
        <v>146.34</v>
      </c>
      <c r="F458" s="14">
        <f>ROUNDUP((Tabla1[[#This Row],[EFECTIVO]]*1.05),0)</f>
        <v>221</v>
      </c>
      <c r="G458" s="15">
        <v>195</v>
      </c>
    </row>
    <row r="459" spans="2:7" x14ac:dyDescent="0.25">
      <c r="B459" s="16"/>
      <c r="C459" s="17"/>
      <c r="D459" s="17"/>
      <c r="E459" s="18"/>
      <c r="F459" s="19"/>
      <c r="G459" s="20"/>
    </row>
    <row r="460" spans="2:7" x14ac:dyDescent="0.25">
      <c r="B460" s="11"/>
      <c r="C460" s="12"/>
      <c r="D460" s="12"/>
      <c r="E460" s="13"/>
      <c r="F460" s="14"/>
      <c r="G460" s="15"/>
    </row>
    <row r="461" spans="2:7" x14ac:dyDescent="0.25">
      <c r="B461" s="16"/>
      <c r="C461" s="17"/>
      <c r="D461" s="17"/>
      <c r="E461" s="18"/>
      <c r="F461" s="19"/>
      <c r="G461" s="20"/>
    </row>
    <row r="462" spans="2:7" x14ac:dyDescent="0.25">
      <c r="B462" s="21"/>
      <c r="C462" s="6" t="s">
        <v>365</v>
      </c>
      <c r="D462" s="6"/>
      <c r="E462" s="22"/>
      <c r="F462" s="23"/>
      <c r="G462" s="24"/>
    </row>
    <row r="463" spans="2:7" x14ac:dyDescent="0.25">
      <c r="B463" s="16">
        <v>2402430000</v>
      </c>
      <c r="C463" s="17" t="s">
        <v>509</v>
      </c>
      <c r="D463" s="17" t="s">
        <v>59</v>
      </c>
      <c r="E463" s="18">
        <v>131.25</v>
      </c>
      <c r="F463" s="19">
        <f>ROUNDUP((Tabla1[[#This Row],[EFECTIVO]]*1.05),0)</f>
        <v>245</v>
      </c>
      <c r="G463" s="20">
        <v>175</v>
      </c>
    </row>
    <row r="464" spans="2:7" x14ac:dyDescent="0.25">
      <c r="B464" s="11">
        <v>2403590000</v>
      </c>
      <c r="C464" s="12" t="s">
        <v>509</v>
      </c>
      <c r="D464" s="12" t="s">
        <v>59</v>
      </c>
      <c r="E464" s="13">
        <v>131.25</v>
      </c>
      <c r="F464" s="14">
        <f>ROUNDUP((Tabla1[[#This Row],[EFECTIVO]]*1.05),0)</f>
        <v>300</v>
      </c>
      <c r="G464" s="15">
        <v>175</v>
      </c>
    </row>
    <row r="465" spans="2:7" x14ac:dyDescent="0.25">
      <c r="B465" s="16">
        <v>2444630000</v>
      </c>
      <c r="C465" s="17" t="s">
        <v>546</v>
      </c>
      <c r="D465" s="17" t="s">
        <v>59</v>
      </c>
      <c r="E465" s="18">
        <v>194.25</v>
      </c>
      <c r="F465" s="19">
        <f>ROUNDUP((Tabla1[[#This Row],[EFECTIVO]]*1.05),0)</f>
        <v>304</v>
      </c>
      <c r="G465" s="20">
        <v>259</v>
      </c>
    </row>
    <row r="466" spans="2:7" x14ac:dyDescent="0.25">
      <c r="B466" s="11">
        <v>2444690000</v>
      </c>
      <c r="C466" s="12" t="s">
        <v>547</v>
      </c>
      <c r="D466" s="12" t="s">
        <v>59</v>
      </c>
      <c r="E466" s="13">
        <v>157.815</v>
      </c>
      <c r="F466" s="14">
        <f>ROUNDUP((Tabla1[[#This Row],[EFECTIVO]]*1.05),0)</f>
        <v>321</v>
      </c>
      <c r="G466" s="15">
        <v>210.42</v>
      </c>
    </row>
    <row r="467" spans="2:7" x14ac:dyDescent="0.25">
      <c r="B467" s="16">
        <v>2403880000</v>
      </c>
      <c r="C467" s="17" t="s">
        <v>548</v>
      </c>
      <c r="D467" s="17" t="s">
        <v>59</v>
      </c>
      <c r="E467" s="18">
        <v>124.8075</v>
      </c>
      <c r="F467" s="19">
        <f>ROUNDUP((Tabla1[[#This Row],[EFECTIVO]]*1.05),0)</f>
        <v>307</v>
      </c>
      <c r="G467" s="20">
        <v>166.41</v>
      </c>
    </row>
    <row r="468" spans="2:7" x14ac:dyDescent="0.25">
      <c r="B468" s="11">
        <v>2443830000</v>
      </c>
      <c r="C468" s="12" t="s">
        <v>549</v>
      </c>
      <c r="D468" s="12" t="s">
        <v>59</v>
      </c>
      <c r="E468" s="13">
        <v>168.75</v>
      </c>
      <c r="F468" s="14">
        <f>ROUNDUP((Tabla1[[#This Row],[EFECTIVO]]*1.05),0)</f>
        <v>336</v>
      </c>
      <c r="G468" s="15">
        <v>225</v>
      </c>
    </row>
    <row r="469" spans="2:7" x14ac:dyDescent="0.25">
      <c r="B469" s="16">
        <v>2443820000</v>
      </c>
      <c r="C469" s="17" t="s">
        <v>550</v>
      </c>
      <c r="D469" s="17" t="s">
        <v>59</v>
      </c>
      <c r="E469" s="18">
        <v>176.25</v>
      </c>
      <c r="F469" s="19">
        <f>ROUNDUP((Tabla1[[#This Row],[EFECTIVO]]*1.05),0)</f>
        <v>199</v>
      </c>
      <c r="G469" s="20">
        <v>235</v>
      </c>
    </row>
    <row r="470" spans="2:7" x14ac:dyDescent="0.25">
      <c r="B470" s="11">
        <v>2403890000</v>
      </c>
      <c r="C470" s="12" t="s">
        <v>551</v>
      </c>
      <c r="D470" s="12" t="s">
        <v>59</v>
      </c>
      <c r="E470" s="13">
        <v>143.52000000000001</v>
      </c>
      <c r="F470" s="14">
        <f>ROUNDUP((Tabla1[[#This Row],[EFECTIVO]]*1.05),0)</f>
        <v>0</v>
      </c>
      <c r="G470" s="15">
        <v>191.36</v>
      </c>
    </row>
    <row r="471" spans="2:7" x14ac:dyDescent="0.25">
      <c r="B471" s="16">
        <v>2446370000</v>
      </c>
      <c r="C471" s="17" t="s">
        <v>552</v>
      </c>
      <c r="D471" s="17" t="s">
        <v>59</v>
      </c>
      <c r="E471" s="18">
        <v>199</v>
      </c>
      <c r="F471" s="19">
        <f>ROUNDUP((Tabla1[[#This Row],[EFECTIVO]]*1.05),0)</f>
        <v>0</v>
      </c>
      <c r="G471" s="20">
        <v>233.22</v>
      </c>
    </row>
    <row r="472" spans="2:7" x14ac:dyDescent="0.25">
      <c r="B472" s="11">
        <v>2443850000</v>
      </c>
      <c r="C472" s="12" t="s">
        <v>553</v>
      </c>
      <c r="D472" s="12" t="s">
        <v>59</v>
      </c>
      <c r="E472" s="13">
        <v>213.75</v>
      </c>
      <c r="F472" s="14">
        <f>ROUNDUP((Tabla1[[#This Row],[EFECTIVO]]*1.05),0)</f>
        <v>209</v>
      </c>
      <c r="G472" s="15">
        <v>285</v>
      </c>
    </row>
    <row r="473" spans="2:7" x14ac:dyDescent="0.25">
      <c r="B473" s="16">
        <v>2444640000</v>
      </c>
      <c r="C473" s="17" t="s">
        <v>554</v>
      </c>
      <c r="D473" s="17" t="s">
        <v>59</v>
      </c>
      <c r="E473" s="18">
        <v>216.75</v>
      </c>
      <c r="F473" s="19">
        <f>ROUNDUP((Tabla1[[#This Row],[EFECTIVO]]*1.05),0)</f>
        <v>314</v>
      </c>
      <c r="G473" s="20">
        <v>289</v>
      </c>
    </row>
    <row r="474" spans="2:7" x14ac:dyDescent="0.25">
      <c r="B474" s="11">
        <v>2443840000</v>
      </c>
      <c r="C474" s="12" t="s">
        <v>555</v>
      </c>
      <c r="D474" s="12" t="s">
        <v>59</v>
      </c>
      <c r="E474" s="13">
        <v>228.75</v>
      </c>
      <c r="F474" s="14">
        <f>ROUNDUP((Tabla1[[#This Row],[EFECTIVO]]*1.05),0)</f>
        <v>310</v>
      </c>
      <c r="G474" s="15">
        <v>305</v>
      </c>
    </row>
    <row r="475" spans="2:7" x14ac:dyDescent="0.25">
      <c r="B475" s="16">
        <v>2445790000</v>
      </c>
      <c r="C475" s="17" t="s">
        <v>556</v>
      </c>
      <c r="D475" s="17" t="s">
        <v>59</v>
      </c>
      <c r="E475" s="18">
        <v>219</v>
      </c>
      <c r="F475" s="19">
        <f>ROUNDUP((Tabla1[[#This Row],[EFECTIVO]]*1.05),0)</f>
        <v>321</v>
      </c>
      <c r="G475" s="20">
        <v>292</v>
      </c>
    </row>
    <row r="476" spans="2:7" x14ac:dyDescent="0.25">
      <c r="B476" s="11">
        <v>2444650000</v>
      </c>
      <c r="C476" s="12" t="s">
        <v>557</v>
      </c>
      <c r="D476" s="12" t="s">
        <v>59</v>
      </c>
      <c r="E476" s="13">
        <v>240</v>
      </c>
      <c r="F476" s="14">
        <f>ROUNDUP((Tabla1[[#This Row],[EFECTIVO]]*1.05),0)</f>
        <v>314</v>
      </c>
      <c r="G476" s="15">
        <v>320</v>
      </c>
    </row>
    <row r="477" spans="2:7" x14ac:dyDescent="0.25">
      <c r="B477" s="16">
        <v>2402450000</v>
      </c>
      <c r="C477" s="17" t="s">
        <v>558</v>
      </c>
      <c r="D477" s="17" t="s">
        <v>59</v>
      </c>
      <c r="E477" s="18">
        <v>127</v>
      </c>
      <c r="F477" s="19">
        <f>ROUNDUP((Tabla1[[#This Row],[EFECTIVO]]*1.05),0)</f>
        <v>0</v>
      </c>
      <c r="G477" s="20">
        <v>188.6</v>
      </c>
    </row>
    <row r="478" spans="2:7" x14ac:dyDescent="0.25">
      <c r="B478" s="11"/>
      <c r="C478" s="12"/>
      <c r="D478" s="12"/>
      <c r="E478" s="13"/>
      <c r="F478" s="14"/>
      <c r="G478" s="15"/>
    </row>
    <row r="479" spans="2:7" x14ac:dyDescent="0.25">
      <c r="B479" s="16">
        <v>2446490000</v>
      </c>
      <c r="C479" s="17" t="s">
        <v>559</v>
      </c>
      <c r="D479" s="17" t="s">
        <v>335</v>
      </c>
      <c r="E479" s="18">
        <v>148.97399999999999</v>
      </c>
      <c r="F479" s="19">
        <f>ROUNDUP((Tabla1[[#This Row],[EFECTIVO]]*1.05),0)</f>
        <v>42</v>
      </c>
      <c r="G479" s="20">
        <v>198.63199999999998</v>
      </c>
    </row>
    <row r="480" spans="2:7" x14ac:dyDescent="0.25">
      <c r="B480" s="11">
        <v>2446380000</v>
      </c>
      <c r="C480" s="12" t="s">
        <v>502</v>
      </c>
      <c r="D480" s="12" t="s">
        <v>335</v>
      </c>
      <c r="E480" s="13">
        <v>199</v>
      </c>
      <c r="F480" s="14">
        <f>ROUNDUP((Tabla1[[#This Row],[EFECTIVO]]*1.05),0)</f>
        <v>51</v>
      </c>
      <c r="G480" s="15">
        <v>299</v>
      </c>
    </row>
    <row r="481" spans="2:7" x14ac:dyDescent="0.25">
      <c r="B481" s="16">
        <v>2446390000</v>
      </c>
      <c r="C481" s="17" t="s">
        <v>560</v>
      </c>
      <c r="D481" s="17" t="s">
        <v>335</v>
      </c>
      <c r="E481" s="18">
        <v>221.25</v>
      </c>
      <c r="F481" s="19">
        <f>ROUNDUP((Tabla1[[#This Row],[EFECTIVO]]*1.05),0)</f>
        <v>32</v>
      </c>
      <c r="G481" s="20">
        <v>295</v>
      </c>
    </row>
    <row r="482" spans="2:7" x14ac:dyDescent="0.25">
      <c r="B482" s="11">
        <v>2446430000</v>
      </c>
      <c r="C482" s="12" t="s">
        <v>561</v>
      </c>
      <c r="D482" s="12" t="s">
        <v>335</v>
      </c>
      <c r="E482" s="13">
        <v>228.75</v>
      </c>
      <c r="F482" s="14">
        <f>ROUNDUP((Tabla1[[#This Row],[EFECTIVO]]*1.05),0)</f>
        <v>53</v>
      </c>
      <c r="G482" s="15">
        <v>305</v>
      </c>
    </row>
    <row r="483" spans="2:7" x14ac:dyDescent="0.25">
      <c r="B483" s="16">
        <v>2446450000</v>
      </c>
      <c r="C483" s="17" t="s">
        <v>562</v>
      </c>
      <c r="D483" s="17" t="s">
        <v>335</v>
      </c>
      <c r="E483" s="18">
        <v>224.25</v>
      </c>
      <c r="F483" s="19">
        <f>ROUNDUP((Tabla1[[#This Row],[EFECTIVO]]*1.05),0)</f>
        <v>72</v>
      </c>
      <c r="G483" s="20">
        <v>299</v>
      </c>
    </row>
    <row r="484" spans="2:7" x14ac:dyDescent="0.25">
      <c r="B484" s="16"/>
      <c r="C484" s="17"/>
      <c r="D484" s="17"/>
      <c r="E484" s="18"/>
      <c r="F484" s="19"/>
      <c r="G484" s="20"/>
    </row>
    <row r="485" spans="2:7" x14ac:dyDescent="0.25">
      <c r="B485" s="21"/>
      <c r="C485" s="6" t="s">
        <v>330</v>
      </c>
      <c r="D485" s="6"/>
      <c r="E485" s="22"/>
      <c r="F485" s="23"/>
      <c r="G485" s="24"/>
    </row>
    <row r="486" spans="2:7" x14ac:dyDescent="0.25">
      <c r="B486" s="11">
        <v>40080276</v>
      </c>
      <c r="C486" s="12" t="s">
        <v>5</v>
      </c>
      <c r="D486" s="12" t="s">
        <v>23</v>
      </c>
      <c r="E486" s="13">
        <v>30.48</v>
      </c>
      <c r="F486" s="14">
        <v>45</v>
      </c>
      <c r="G486" s="15">
        <v>40</v>
      </c>
    </row>
    <row r="487" spans="2:7" x14ac:dyDescent="0.25">
      <c r="B487" s="16">
        <v>40080277</v>
      </c>
      <c r="C487" s="17" t="s">
        <v>7</v>
      </c>
      <c r="D487" s="17" t="s">
        <v>23</v>
      </c>
      <c r="E487" s="18">
        <v>37.72</v>
      </c>
      <c r="F487" s="19">
        <v>53</v>
      </c>
      <c r="G487" s="20">
        <v>48</v>
      </c>
    </row>
    <row r="488" spans="2:7" x14ac:dyDescent="0.25">
      <c r="B488" s="11">
        <v>40080218</v>
      </c>
      <c r="C488" s="12" t="s">
        <v>331</v>
      </c>
      <c r="D488" s="12" t="s">
        <v>23</v>
      </c>
      <c r="E488" s="13">
        <v>22.43</v>
      </c>
      <c r="F488" s="14">
        <v>35</v>
      </c>
      <c r="G488" s="15">
        <v>30</v>
      </c>
    </row>
    <row r="489" spans="2:7" x14ac:dyDescent="0.25">
      <c r="B489" s="16">
        <v>40080275</v>
      </c>
      <c r="C489" s="17" t="s">
        <v>332</v>
      </c>
      <c r="D489" s="17" t="s">
        <v>23</v>
      </c>
      <c r="E489" s="18">
        <v>38.869999999999997</v>
      </c>
      <c r="F489" s="19">
        <v>55</v>
      </c>
      <c r="G489" s="20">
        <v>50</v>
      </c>
    </row>
    <row r="490" spans="2:7" x14ac:dyDescent="0.25">
      <c r="B490" s="11">
        <v>40080272</v>
      </c>
      <c r="C490" s="12" t="s">
        <v>333</v>
      </c>
      <c r="D490" s="12" t="s">
        <v>23</v>
      </c>
      <c r="E490" s="13">
        <v>50.23</v>
      </c>
      <c r="F490" s="14">
        <v>75</v>
      </c>
      <c r="G490" s="15">
        <v>68</v>
      </c>
    </row>
    <row r="491" spans="2:7" x14ac:dyDescent="0.25">
      <c r="B491" s="16" t="s">
        <v>564</v>
      </c>
      <c r="C491" s="17" t="s">
        <v>46</v>
      </c>
      <c r="D491" s="17" t="s">
        <v>23</v>
      </c>
      <c r="E491" s="18">
        <v>42.409124999999996</v>
      </c>
      <c r="F491" s="19">
        <v>62.200050000000005</v>
      </c>
      <c r="G491" s="20">
        <v>56.545499999999997</v>
      </c>
    </row>
    <row r="492" spans="2:7" x14ac:dyDescent="0.25">
      <c r="B492" s="11">
        <v>183833</v>
      </c>
      <c r="C492" s="12" t="s">
        <v>47</v>
      </c>
      <c r="D492" s="12" t="s">
        <v>23</v>
      </c>
      <c r="E492" s="13">
        <v>47.239125000000001</v>
      </c>
      <c r="F492" s="14">
        <v>69.284050000000008</v>
      </c>
      <c r="G492" s="15">
        <v>62.985500000000002</v>
      </c>
    </row>
    <row r="493" spans="2:7" x14ac:dyDescent="0.25">
      <c r="B493" s="16">
        <v>95189</v>
      </c>
      <c r="C493" s="17" t="s">
        <v>48</v>
      </c>
      <c r="D493" s="17" t="s">
        <v>23</v>
      </c>
      <c r="E493" s="18">
        <v>51.948374999999984</v>
      </c>
      <c r="F493" s="19">
        <v>76.190949999999987</v>
      </c>
      <c r="G493" s="20">
        <v>69.264499999999984</v>
      </c>
    </row>
    <row r="494" spans="2:7" x14ac:dyDescent="0.25">
      <c r="B494" s="11">
        <v>706533</v>
      </c>
      <c r="C494" s="12" t="s">
        <v>49</v>
      </c>
      <c r="D494" s="12" t="s">
        <v>23</v>
      </c>
      <c r="E494" s="13">
        <v>40.796250000000001</v>
      </c>
      <c r="F494" s="14">
        <v>59.834499999999998</v>
      </c>
      <c r="G494" s="15">
        <v>54.394999999999996</v>
      </c>
    </row>
    <row r="495" spans="2:7" x14ac:dyDescent="0.25">
      <c r="B495" s="16"/>
      <c r="C495" s="26" t="s">
        <v>956</v>
      </c>
      <c r="D495" s="17"/>
      <c r="E495" s="18"/>
      <c r="F495" s="19"/>
      <c r="G495" s="20"/>
    </row>
    <row r="496" spans="2:7" x14ac:dyDescent="0.25">
      <c r="B496" s="11">
        <v>2401010000</v>
      </c>
      <c r="C496" s="12" t="s">
        <v>565</v>
      </c>
      <c r="D496" s="12" t="s">
        <v>23</v>
      </c>
      <c r="E496" s="13">
        <v>44.9925</v>
      </c>
      <c r="F496" s="14">
        <f>ROUNDUP((Tabla1[[#This Row],[EFECTIVO]]*1.05),0)</f>
        <v>97</v>
      </c>
      <c r="G496" s="15">
        <v>59.99</v>
      </c>
    </row>
    <row r="497" spans="2:7" x14ac:dyDescent="0.25">
      <c r="B497" s="16">
        <v>2401100000</v>
      </c>
      <c r="C497" s="17" t="s">
        <v>566</v>
      </c>
      <c r="D497" s="17" t="s">
        <v>23</v>
      </c>
      <c r="E497" s="18">
        <v>49.99</v>
      </c>
      <c r="F497" s="19">
        <f>ROUNDUP((Tabla1[[#This Row],[EFECTIVO]]*1.05),0)</f>
        <v>89</v>
      </c>
      <c r="G497" s="20">
        <v>87.399999999999991</v>
      </c>
    </row>
    <row r="498" spans="2:7" x14ac:dyDescent="0.25">
      <c r="B498" s="11">
        <v>2401360000</v>
      </c>
      <c r="C498" s="12" t="s">
        <v>567</v>
      </c>
      <c r="D498" s="12" t="s">
        <v>23</v>
      </c>
      <c r="E498" s="13">
        <v>51.494999999999997</v>
      </c>
      <c r="F498" s="14">
        <f>ROUNDUP((Tabla1[[#This Row],[EFECTIVO]]*1.05),0)</f>
        <v>101</v>
      </c>
      <c r="G498" s="15">
        <v>68.66</v>
      </c>
    </row>
    <row r="499" spans="2:7" x14ac:dyDescent="0.25">
      <c r="B499" s="16">
        <v>2401020000</v>
      </c>
      <c r="C499" s="17" t="s">
        <v>568</v>
      </c>
      <c r="D499" s="17" t="s">
        <v>23</v>
      </c>
      <c r="E499" s="18">
        <v>42.447321428571421</v>
      </c>
      <c r="F499" s="19">
        <f>ROUNDUP((Tabla1[[#This Row],[EFECTIVO]]*1.05),0)</f>
        <v>94</v>
      </c>
      <c r="G499" s="20">
        <v>56.596428571428561</v>
      </c>
    </row>
    <row r="500" spans="2:7" x14ac:dyDescent="0.25">
      <c r="B500" s="11">
        <v>2401030000</v>
      </c>
      <c r="C500" s="12" t="s">
        <v>569</v>
      </c>
      <c r="D500" s="12" t="s">
        <v>23</v>
      </c>
      <c r="E500" s="13">
        <v>46.628906249999986</v>
      </c>
      <c r="F500" s="14">
        <f>ROUNDUP((Tabla1[[#This Row],[EFECTIVO]]*1.05),0)</f>
        <v>117</v>
      </c>
      <c r="G500" s="15">
        <v>62.171874999999986</v>
      </c>
    </row>
    <row r="501" spans="2:7" x14ac:dyDescent="0.25">
      <c r="B501" s="16">
        <v>2400090000</v>
      </c>
      <c r="C501" s="17" t="s">
        <v>570</v>
      </c>
      <c r="D501" s="17" t="s">
        <v>23</v>
      </c>
      <c r="E501" s="18">
        <v>51.494999999999997</v>
      </c>
      <c r="F501" s="19">
        <f>ROUNDUP((Tabla1[[#This Row],[EFECTIVO]]*1.05),0)</f>
        <v>0</v>
      </c>
      <c r="G501" s="20">
        <v>68.66</v>
      </c>
    </row>
    <row r="502" spans="2:7" x14ac:dyDescent="0.25">
      <c r="B502" s="11">
        <v>2401070000</v>
      </c>
      <c r="C502" s="12" t="s">
        <v>571</v>
      </c>
      <c r="D502" s="12" t="s">
        <v>23</v>
      </c>
      <c r="E502" s="13">
        <v>57.269999999999996</v>
      </c>
      <c r="F502" s="14">
        <f>ROUNDUP((Tabla1[[#This Row],[EFECTIVO]]*1.05),0)</f>
        <v>134</v>
      </c>
      <c r="G502" s="15">
        <v>76.36</v>
      </c>
    </row>
    <row r="503" spans="2:7" x14ac:dyDescent="0.25">
      <c r="B503" s="16">
        <v>2401080000</v>
      </c>
      <c r="C503" s="17" t="s">
        <v>572</v>
      </c>
      <c r="D503" s="17" t="s">
        <v>23</v>
      </c>
      <c r="E503" s="18">
        <v>68.745000000000005</v>
      </c>
      <c r="F503" s="19">
        <f>ROUNDUP((Tabla1[[#This Row],[EFECTIVO]]*1.05),0)</f>
        <v>168</v>
      </c>
      <c r="G503" s="20">
        <v>91.66</v>
      </c>
    </row>
    <row r="504" spans="2:7" x14ac:dyDescent="0.25">
      <c r="B504" s="11">
        <v>2401120000</v>
      </c>
      <c r="C504" s="12" t="s">
        <v>573</v>
      </c>
      <c r="D504" s="12" t="s">
        <v>23</v>
      </c>
      <c r="E504" s="13">
        <v>63.052499999999995</v>
      </c>
      <c r="F504" s="14">
        <f>ROUNDUP((Tabla1[[#This Row],[EFECTIVO]]*1.05),0)</f>
        <v>124</v>
      </c>
      <c r="G504" s="15">
        <v>84.07</v>
      </c>
    </row>
    <row r="505" spans="2:7" x14ac:dyDescent="0.25">
      <c r="B505" s="16">
        <v>2401110000</v>
      </c>
      <c r="C505" s="17" t="s">
        <v>574</v>
      </c>
      <c r="D505" s="17" t="s">
        <v>23</v>
      </c>
      <c r="E505" s="18">
        <v>71.677499999999995</v>
      </c>
      <c r="F505" s="19">
        <f>ROUNDUP((Tabla1[[#This Row],[EFECTIVO]]*1.05),0)</f>
        <v>0</v>
      </c>
      <c r="G505" s="20">
        <v>95.57</v>
      </c>
    </row>
    <row r="506" spans="2:7" x14ac:dyDescent="0.25">
      <c r="B506" s="11">
        <v>2401160000</v>
      </c>
      <c r="C506" s="12" t="s">
        <v>575</v>
      </c>
      <c r="D506" s="12" t="s">
        <v>23</v>
      </c>
      <c r="E506" s="13">
        <v>50</v>
      </c>
      <c r="F506" s="14">
        <f>ROUNDUP((Tabla1[[#This Row],[EFECTIVO]]*1.05),0)</f>
        <v>0</v>
      </c>
      <c r="G506" s="15">
        <v>89.24</v>
      </c>
    </row>
    <row r="507" spans="2:7" x14ac:dyDescent="0.25">
      <c r="B507" s="16">
        <v>2401170000</v>
      </c>
      <c r="C507" s="17" t="s">
        <v>576</v>
      </c>
      <c r="D507" s="17" t="s">
        <v>23</v>
      </c>
      <c r="E507" s="18">
        <v>83.287499999999994</v>
      </c>
      <c r="F507" s="19">
        <f>ROUNDUP((Tabla1[[#This Row],[EFECTIVO]]*1.05),0)</f>
        <v>0</v>
      </c>
      <c r="G507" s="20">
        <v>111.05</v>
      </c>
    </row>
    <row r="508" spans="2:7" x14ac:dyDescent="0.25">
      <c r="B508" s="11"/>
      <c r="C508" s="27" t="s">
        <v>955</v>
      </c>
      <c r="D508" s="12"/>
      <c r="E508" s="13"/>
      <c r="F508" s="14"/>
      <c r="G508" s="15"/>
    </row>
    <row r="509" spans="2:7" x14ac:dyDescent="0.25">
      <c r="B509" s="16">
        <v>2200820000</v>
      </c>
      <c r="C509" s="17" t="s">
        <v>577</v>
      </c>
      <c r="D509" s="17" t="s">
        <v>23</v>
      </c>
      <c r="E509" s="18">
        <v>68.290000000000006</v>
      </c>
      <c r="F509" s="19">
        <f>ROUNDUP((Tabla1[[#This Row],[EFECTIVO]]*1.05),0)</f>
        <v>0</v>
      </c>
      <c r="G509" s="20">
        <v>127.32142857142856</v>
      </c>
    </row>
    <row r="510" spans="2:7" x14ac:dyDescent="0.25">
      <c r="B510" s="11">
        <v>2200890000</v>
      </c>
      <c r="C510" s="12" t="s">
        <v>578</v>
      </c>
      <c r="D510" s="12" t="s">
        <v>23</v>
      </c>
      <c r="E510" s="13">
        <v>119.66417410714284</v>
      </c>
      <c r="F510" s="14">
        <f>ROUNDUP((Tabla1[[#This Row],[EFECTIVO]]*1.05),0)</f>
        <v>0</v>
      </c>
      <c r="G510" s="15">
        <v>159.55223214285712</v>
      </c>
    </row>
    <row r="511" spans="2:7" x14ac:dyDescent="0.25">
      <c r="B511" s="16">
        <v>2200760000</v>
      </c>
      <c r="C511" s="17" t="s">
        <v>579</v>
      </c>
      <c r="D511" s="17" t="s">
        <v>23</v>
      </c>
      <c r="E511" s="18">
        <v>87.882589285714275</v>
      </c>
      <c r="F511" s="19">
        <f>ROUNDUP((Tabla1[[#This Row],[EFECTIVO]]*1.05),0)</f>
        <v>0</v>
      </c>
      <c r="G511" s="20">
        <v>117.1767857142857</v>
      </c>
    </row>
    <row r="512" spans="2:7" x14ac:dyDescent="0.25">
      <c r="B512" s="11"/>
      <c r="C512" s="12"/>
      <c r="D512" s="12"/>
      <c r="E512" s="13"/>
      <c r="F512" s="14"/>
      <c r="G512" s="15"/>
    </row>
    <row r="513" spans="2:7" x14ac:dyDescent="0.25">
      <c r="B513" s="21"/>
      <c r="C513" s="6" t="s">
        <v>563</v>
      </c>
      <c r="D513" s="6"/>
      <c r="E513" s="22"/>
      <c r="F513" s="23"/>
      <c r="G513" s="24"/>
    </row>
    <row r="514" spans="2:7" x14ac:dyDescent="0.25">
      <c r="B514" s="11">
        <v>2071430000</v>
      </c>
      <c r="C514" s="12" t="s">
        <v>508</v>
      </c>
      <c r="D514" s="12" t="s">
        <v>523</v>
      </c>
      <c r="E514" s="13">
        <v>114.88962053571427</v>
      </c>
      <c r="F514" s="14">
        <f>ROUNDUP((Tabla1[[#This Row],[EFECTIVO]]*1.04),0)</f>
        <v>0</v>
      </c>
      <c r="G514" s="15">
        <v>153.18616071428571</v>
      </c>
    </row>
    <row r="515" spans="2:7" x14ac:dyDescent="0.25">
      <c r="B515" s="16">
        <v>2405670000</v>
      </c>
      <c r="C515" s="17" t="s">
        <v>509</v>
      </c>
      <c r="D515" s="17" t="s">
        <v>523</v>
      </c>
      <c r="E515" s="18">
        <v>115.5</v>
      </c>
      <c r="F515" s="19">
        <f>ROUNDUP((Tabla1[[#This Row],[EFECTIVO]]*1.04),0)</f>
        <v>160</v>
      </c>
      <c r="G515" s="20">
        <v>154</v>
      </c>
    </row>
    <row r="516" spans="2:7" x14ac:dyDescent="0.25">
      <c r="B516" s="11">
        <v>2471440000</v>
      </c>
      <c r="C516" s="12" t="s">
        <v>509</v>
      </c>
      <c r="D516" s="12" t="s">
        <v>523</v>
      </c>
      <c r="E516" s="13">
        <v>115.5</v>
      </c>
      <c r="F516" s="14">
        <f>ROUNDUP((Tabla1[[#This Row],[EFECTIVO]]*1.04),0)</f>
        <v>161</v>
      </c>
      <c r="G516" s="15">
        <v>154</v>
      </c>
    </row>
    <row r="517" spans="2:7" x14ac:dyDescent="0.25">
      <c r="B517" s="16">
        <v>2471440009</v>
      </c>
      <c r="C517" s="17" t="s">
        <v>509</v>
      </c>
      <c r="D517" s="17" t="s">
        <v>523</v>
      </c>
      <c r="E517" s="18">
        <v>115.5</v>
      </c>
      <c r="F517" s="19">
        <f>ROUNDUP((Tabla1[[#This Row],[EFECTIVO]]*1.04),0)</f>
        <v>161</v>
      </c>
      <c r="G517" s="20">
        <v>154</v>
      </c>
    </row>
    <row r="518" spans="2:7" x14ac:dyDescent="0.25">
      <c r="B518" s="11">
        <v>2000970000</v>
      </c>
      <c r="C518" s="12" t="s">
        <v>510</v>
      </c>
      <c r="D518" s="12" t="s">
        <v>523</v>
      </c>
      <c r="E518" s="13">
        <v>101.17433035714282</v>
      </c>
      <c r="F518" s="14">
        <f>ROUNDUP((Tabla1[[#This Row],[EFECTIVO]]*1.04),0)</f>
        <v>161</v>
      </c>
      <c r="G518" s="15">
        <v>134.8991071428571</v>
      </c>
    </row>
    <row r="519" spans="2:7" x14ac:dyDescent="0.25">
      <c r="B519" s="16">
        <v>2000120000</v>
      </c>
      <c r="C519" s="17" t="s">
        <v>511</v>
      </c>
      <c r="D519" s="17" t="s">
        <v>523</v>
      </c>
      <c r="E519" s="18">
        <v>155.24999999999994</v>
      </c>
      <c r="F519" s="19">
        <f>ROUNDUP((Tabla1[[#This Row],[EFECTIVO]]*1.04),0)</f>
        <v>141</v>
      </c>
      <c r="G519" s="20">
        <v>206.99999999999994</v>
      </c>
    </row>
    <row r="520" spans="2:7" x14ac:dyDescent="0.25">
      <c r="B520" s="11">
        <v>2471430000</v>
      </c>
      <c r="C520" s="12" t="s">
        <v>512</v>
      </c>
      <c r="D520" s="12" t="s">
        <v>523</v>
      </c>
      <c r="E520" s="13">
        <v>168.87287946428569</v>
      </c>
      <c r="F520" s="14">
        <f>ROUNDUP((Tabla1[[#This Row],[EFECTIVO]]*1.04),0)</f>
        <v>216</v>
      </c>
      <c r="G520" s="15">
        <v>225.16383928571423</v>
      </c>
    </row>
    <row r="521" spans="2:7" x14ac:dyDescent="0.25">
      <c r="B521" s="16">
        <v>2000230000</v>
      </c>
      <c r="C521" s="17" t="s">
        <v>513</v>
      </c>
      <c r="D521" s="17" t="s">
        <v>523</v>
      </c>
      <c r="E521" s="18">
        <v>120</v>
      </c>
      <c r="F521" s="19">
        <f>ROUNDUP((Tabla1[[#This Row],[EFECTIVO]]*1.04),0)</f>
        <v>235</v>
      </c>
      <c r="G521" s="20">
        <v>195.08928571428569</v>
      </c>
    </row>
    <row r="522" spans="2:7" x14ac:dyDescent="0.25">
      <c r="B522" s="11">
        <v>2071400000</v>
      </c>
      <c r="C522" s="12" t="s">
        <v>514</v>
      </c>
      <c r="D522" s="12" t="s">
        <v>523</v>
      </c>
      <c r="E522" s="13">
        <v>158.95412946428567</v>
      </c>
      <c r="F522" s="14">
        <f>ROUNDUP((Tabla1[[#This Row],[EFECTIVO]]*1.04),0)</f>
        <v>203</v>
      </c>
      <c r="G522" s="15">
        <v>211.93883928571424</v>
      </c>
    </row>
    <row r="523" spans="2:7" x14ac:dyDescent="0.25">
      <c r="B523" s="16">
        <v>2471410000</v>
      </c>
      <c r="C523" s="17" t="s">
        <v>515</v>
      </c>
      <c r="D523" s="17" t="s">
        <v>523</v>
      </c>
      <c r="E523" s="18">
        <v>150</v>
      </c>
      <c r="F523" s="19">
        <f>ROUNDUP((Tabla1[[#This Row],[EFECTIVO]]*1.04),0)</f>
        <v>221</v>
      </c>
      <c r="G523" s="20">
        <v>254.61205357142853</v>
      </c>
    </row>
    <row r="524" spans="2:7" x14ac:dyDescent="0.25">
      <c r="B524" s="11">
        <v>2001470000</v>
      </c>
      <c r="C524" s="12" t="s">
        <v>516</v>
      </c>
      <c r="D524" s="12" t="s">
        <v>523</v>
      </c>
      <c r="E524" s="13">
        <v>125</v>
      </c>
      <c r="F524" s="14">
        <f>ROUNDUP((Tabla1[[#This Row],[EFECTIVO]]*1.04),0)</f>
        <v>265</v>
      </c>
      <c r="G524" s="15">
        <v>212.51383928571425</v>
      </c>
    </row>
    <row r="525" spans="2:7" x14ac:dyDescent="0.25">
      <c r="B525" s="16">
        <v>2400830000</v>
      </c>
      <c r="C525" s="17" t="s">
        <v>517</v>
      </c>
      <c r="D525" s="17" t="s">
        <v>523</v>
      </c>
      <c r="E525" s="18">
        <v>177.32845982142854</v>
      </c>
      <c r="F525" s="19">
        <f>ROUNDUP((Tabla1[[#This Row],[EFECTIVO]]*1.04),0)</f>
        <v>222</v>
      </c>
      <c r="G525" s="20">
        <v>236.43794642857139</v>
      </c>
    </row>
    <row r="526" spans="2:7" x14ac:dyDescent="0.25">
      <c r="B526" s="11">
        <v>2471420000</v>
      </c>
      <c r="C526" s="12" t="s">
        <v>518</v>
      </c>
      <c r="D526" s="12" t="s">
        <v>523</v>
      </c>
      <c r="E526" s="13">
        <v>165</v>
      </c>
      <c r="F526" s="14">
        <f>ROUNDUP((Tabla1[[#This Row],[EFECTIVO]]*1.04),0)</f>
        <v>246</v>
      </c>
      <c r="G526" s="15">
        <v>306.93705357142858</v>
      </c>
    </row>
    <row r="527" spans="2:7" x14ac:dyDescent="0.25">
      <c r="B527" s="16">
        <v>2402490000</v>
      </c>
      <c r="C527" s="17" t="s">
        <v>519</v>
      </c>
      <c r="D527" s="17" t="s">
        <v>523</v>
      </c>
      <c r="E527" s="18">
        <v>175</v>
      </c>
      <c r="F527" s="19">
        <f>ROUNDUP((Tabla1[[#This Row],[EFECTIVO]]*1.04),0)</f>
        <v>320</v>
      </c>
      <c r="G527" s="20">
        <v>344.19910714285714</v>
      </c>
    </row>
    <row r="528" spans="2:7" x14ac:dyDescent="0.25">
      <c r="B528" s="11">
        <v>2000240000</v>
      </c>
      <c r="C528" s="12" t="s">
        <v>520</v>
      </c>
      <c r="D528" s="12" t="s">
        <v>523</v>
      </c>
      <c r="E528" s="13">
        <v>275.99999999999989</v>
      </c>
      <c r="F528" s="14">
        <f>ROUNDUP((Tabla1[[#This Row],[EFECTIVO]]*1.04),0)</f>
        <v>358</v>
      </c>
      <c r="G528" s="15">
        <v>367.99999999999989</v>
      </c>
    </row>
    <row r="529" spans="2:7" x14ac:dyDescent="0.25">
      <c r="B529" s="16">
        <v>2471130000</v>
      </c>
      <c r="C529" s="17" t="s">
        <v>521</v>
      </c>
      <c r="D529" s="17" t="s">
        <v>523</v>
      </c>
      <c r="E529" s="18">
        <v>221.68560267857134</v>
      </c>
      <c r="F529" s="19">
        <f>ROUNDUP((Tabla1[[#This Row],[EFECTIVO]]*1.04),0)</f>
        <v>383</v>
      </c>
      <c r="G529" s="20">
        <v>295.58080357142848</v>
      </c>
    </row>
    <row r="530" spans="2:7" x14ac:dyDescent="0.25">
      <c r="B530" s="11">
        <v>2401880000</v>
      </c>
      <c r="C530" s="12" t="s">
        <v>522</v>
      </c>
      <c r="D530" s="12" t="s">
        <v>523</v>
      </c>
      <c r="E530" s="13">
        <v>224.25</v>
      </c>
      <c r="F530" s="14">
        <f>ROUNDUP((Tabla1[[#This Row],[EFECTIVO]]*1.04),0)</f>
        <v>308</v>
      </c>
      <c r="G530" s="15">
        <v>299</v>
      </c>
    </row>
    <row r="531" spans="2:7" x14ac:dyDescent="0.25">
      <c r="B531" s="16"/>
      <c r="C531" s="17"/>
      <c r="D531" s="17"/>
      <c r="E531" s="18"/>
      <c r="F531" s="19"/>
      <c r="G531" s="20"/>
    </row>
    <row r="532" spans="2:7" x14ac:dyDescent="0.25">
      <c r="B532" s="21"/>
      <c r="C532" s="6" t="s">
        <v>334</v>
      </c>
      <c r="D532" s="6"/>
      <c r="E532" s="22"/>
      <c r="F532" s="23"/>
      <c r="G532" s="24"/>
    </row>
    <row r="533" spans="2:7" x14ac:dyDescent="0.25">
      <c r="B533" s="16">
        <v>40050361</v>
      </c>
      <c r="C533" s="17" t="s">
        <v>347</v>
      </c>
      <c r="D533" s="17" t="s">
        <v>346</v>
      </c>
      <c r="E533" s="18">
        <v>110.4</v>
      </c>
      <c r="F533" s="19">
        <v>150</v>
      </c>
      <c r="G533" s="20">
        <v>140</v>
      </c>
    </row>
    <row r="534" spans="2:7" x14ac:dyDescent="0.25">
      <c r="B534" s="11">
        <v>40050365</v>
      </c>
      <c r="C534" s="12" t="s">
        <v>348</v>
      </c>
      <c r="D534" s="12" t="s">
        <v>346</v>
      </c>
      <c r="E534" s="13">
        <v>121.9</v>
      </c>
      <c r="F534" s="14">
        <v>170</v>
      </c>
      <c r="G534" s="15">
        <v>152</v>
      </c>
    </row>
    <row r="535" spans="2:7" x14ac:dyDescent="0.25">
      <c r="B535" s="16">
        <v>40050360</v>
      </c>
      <c r="C535" s="17" t="s">
        <v>349</v>
      </c>
      <c r="D535" s="17" t="s">
        <v>346</v>
      </c>
      <c r="E535" s="18">
        <v>143.75</v>
      </c>
      <c r="F535" s="19">
        <v>200</v>
      </c>
      <c r="G535" s="20">
        <v>179</v>
      </c>
    </row>
    <row r="536" spans="2:7" x14ac:dyDescent="0.25">
      <c r="B536" s="11"/>
      <c r="C536" s="12"/>
      <c r="D536" s="12"/>
      <c r="E536" s="13"/>
      <c r="F536" s="14"/>
      <c r="G536" s="15"/>
    </row>
    <row r="537" spans="2:7" x14ac:dyDescent="0.25">
      <c r="B537" s="21"/>
      <c r="C537" s="6" t="s">
        <v>350</v>
      </c>
      <c r="D537" s="6"/>
      <c r="E537" s="22"/>
      <c r="F537" s="23"/>
      <c r="G537" s="24"/>
    </row>
    <row r="538" spans="2:7" x14ac:dyDescent="0.25">
      <c r="B538" s="11">
        <v>40160026</v>
      </c>
      <c r="C538" s="12" t="s">
        <v>351</v>
      </c>
      <c r="D538" s="12" t="s">
        <v>346</v>
      </c>
      <c r="E538" s="13">
        <v>98.9</v>
      </c>
      <c r="F538" s="14">
        <v>135</v>
      </c>
      <c r="G538" s="15">
        <v>125</v>
      </c>
    </row>
    <row r="539" spans="2:7" x14ac:dyDescent="0.25">
      <c r="B539" s="16">
        <v>40160027</v>
      </c>
      <c r="C539" s="17" t="s">
        <v>352</v>
      </c>
      <c r="D539" s="17" t="s">
        <v>346</v>
      </c>
      <c r="E539" s="18">
        <v>106.95</v>
      </c>
      <c r="F539" s="19">
        <v>160</v>
      </c>
      <c r="G539" s="20">
        <v>135</v>
      </c>
    </row>
    <row r="540" spans="2:7" x14ac:dyDescent="0.25">
      <c r="B540" s="11"/>
      <c r="C540" s="12"/>
      <c r="D540" s="12"/>
      <c r="E540" s="13"/>
      <c r="F540" s="14"/>
      <c r="G540" s="15"/>
    </row>
    <row r="541" spans="2:7" x14ac:dyDescent="0.25">
      <c r="B541" s="21"/>
      <c r="C541" s="6" t="s">
        <v>353</v>
      </c>
      <c r="D541" s="6"/>
      <c r="E541" s="22"/>
      <c r="F541" s="23"/>
      <c r="G541" s="24"/>
    </row>
    <row r="542" spans="2:7" x14ac:dyDescent="0.25">
      <c r="B542" s="11">
        <v>40160032</v>
      </c>
      <c r="C542" s="12" t="s">
        <v>354</v>
      </c>
      <c r="D542" s="12" t="s">
        <v>346</v>
      </c>
      <c r="E542" s="13">
        <v>97.75</v>
      </c>
      <c r="F542" s="14">
        <v>135</v>
      </c>
      <c r="G542" s="15">
        <v>121</v>
      </c>
    </row>
    <row r="543" spans="2:7" x14ac:dyDescent="0.25">
      <c r="B543" s="16">
        <v>40160028</v>
      </c>
      <c r="C543" s="17" t="s">
        <v>355</v>
      </c>
      <c r="D543" s="17" t="s">
        <v>346</v>
      </c>
      <c r="E543" s="18">
        <v>143.75</v>
      </c>
      <c r="F543" s="19">
        <v>200</v>
      </c>
      <c r="G543" s="20">
        <v>179</v>
      </c>
    </row>
    <row r="544" spans="2:7" x14ac:dyDescent="0.25">
      <c r="B544" s="11"/>
      <c r="C544" s="12"/>
      <c r="D544" s="12"/>
      <c r="E544" s="13"/>
      <c r="F544" s="14"/>
      <c r="G544" s="15"/>
    </row>
    <row r="545" spans="2:7" x14ac:dyDescent="0.25">
      <c r="B545" s="21"/>
      <c r="C545" s="6" t="s">
        <v>356</v>
      </c>
      <c r="D545" s="6"/>
      <c r="E545" s="22"/>
      <c r="F545" s="23"/>
      <c r="G545" s="24"/>
    </row>
    <row r="546" spans="2:7" x14ac:dyDescent="0.25">
      <c r="B546" s="11"/>
      <c r="C546" s="12"/>
      <c r="D546" s="12"/>
      <c r="E546" s="13"/>
      <c r="F546" s="14"/>
      <c r="G546" s="15"/>
    </row>
    <row r="547" spans="2:7" x14ac:dyDescent="0.25">
      <c r="B547" s="16" t="s">
        <v>397</v>
      </c>
      <c r="C547" s="17" t="s">
        <v>357</v>
      </c>
      <c r="D547" s="17" t="s">
        <v>358</v>
      </c>
      <c r="E547" s="18">
        <v>11.38</v>
      </c>
      <c r="F547" s="19">
        <f>ROUNDUP((Tabla1[[#This Row],[EFECTIVO]]*1.045),0)</f>
        <v>0</v>
      </c>
      <c r="G547" s="20">
        <f>ROUNDUP((Tabla1[[#This Row],[COMPRA]]*1.35),0)</f>
        <v>0</v>
      </c>
    </row>
    <row r="548" spans="2:7" x14ac:dyDescent="0.25">
      <c r="B548" s="11" t="s">
        <v>396</v>
      </c>
      <c r="C548" s="12" t="s">
        <v>359</v>
      </c>
      <c r="D548" s="12" t="s">
        <v>358</v>
      </c>
      <c r="E548" s="13">
        <v>6.79</v>
      </c>
      <c r="F548" s="14">
        <f>ROUNDUP((Tabla1[[#This Row],[EFECTIVO]]*1.045),0)</f>
        <v>0</v>
      </c>
      <c r="G548" s="15">
        <f>ROUNDUP((Tabla1[[#This Row],[COMPRA]]*1.35),0)</f>
        <v>0</v>
      </c>
    </row>
    <row r="549" spans="2:7" x14ac:dyDescent="0.25">
      <c r="B549" s="16" t="s">
        <v>398</v>
      </c>
      <c r="C549" s="17" t="s">
        <v>360</v>
      </c>
      <c r="D549" s="17" t="s">
        <v>358</v>
      </c>
      <c r="E549" s="18">
        <v>6.79</v>
      </c>
      <c r="F549" s="19">
        <f>ROUNDUP((Tabla1[[#This Row],[EFECTIVO]]*1.045),0)</f>
        <v>0</v>
      </c>
      <c r="G549" s="20">
        <f>ROUNDUP((Tabla1[[#This Row],[COMPRA]]*1.35),0)</f>
        <v>0</v>
      </c>
    </row>
    <row r="550" spans="2:7" x14ac:dyDescent="0.25">
      <c r="B550" s="11" t="s">
        <v>362</v>
      </c>
      <c r="C550" s="12" t="s">
        <v>361</v>
      </c>
      <c r="D550" s="12" t="s">
        <v>358</v>
      </c>
      <c r="E550" s="13">
        <v>10.68</v>
      </c>
      <c r="F550" s="14">
        <f>ROUNDUP((Tabla1[[#This Row],[EFECTIVO]]*1.045),0)</f>
        <v>17</v>
      </c>
      <c r="G550" s="15">
        <f>ROUNDUP((Tabla1[[#This Row],[COMPRA]]*1.35),0)</f>
        <v>16</v>
      </c>
    </row>
    <row r="551" spans="2:7" x14ac:dyDescent="0.25">
      <c r="B551" s="16" t="s">
        <v>431</v>
      </c>
      <c r="C551" s="17" t="s">
        <v>363</v>
      </c>
      <c r="D551" s="17" t="s">
        <v>358</v>
      </c>
      <c r="E551" s="18">
        <v>8.65</v>
      </c>
      <c r="F551" s="19">
        <f>ROUNDUP((Tabla1[[#This Row],[EFECTIVO]]*1.045),0)</f>
        <v>11</v>
      </c>
      <c r="G551" s="20">
        <f>ROUNDUP((Tabla1[[#This Row],[COMPRA]]*1.35),0)</f>
        <v>10</v>
      </c>
    </row>
    <row r="552" spans="2:7" x14ac:dyDescent="0.25">
      <c r="B552" s="11" t="s">
        <v>430</v>
      </c>
      <c r="C552" s="12" t="s">
        <v>364</v>
      </c>
      <c r="D552" s="12" t="s">
        <v>358</v>
      </c>
      <c r="E552" s="13">
        <v>8.52</v>
      </c>
      <c r="F552" s="14">
        <f>ROUNDUP((Tabla1[[#This Row],[EFECTIVO]]*1.045),0)</f>
        <v>11</v>
      </c>
      <c r="G552" s="15">
        <f>ROUNDUP((Tabla1[[#This Row],[COMPRA]]*1.35),0)</f>
        <v>10</v>
      </c>
    </row>
    <row r="553" spans="2:7" x14ac:dyDescent="0.25">
      <c r="B553" s="16">
        <v>170010001</v>
      </c>
      <c r="C553" s="17" t="s">
        <v>503</v>
      </c>
      <c r="D553" s="17" t="s">
        <v>358</v>
      </c>
      <c r="E553" s="18">
        <v>9.7200000000000006</v>
      </c>
      <c r="F553" s="19">
        <f>ROUNDUP((Tabla1[[#This Row],[EFECTIVO]]*1.045),0)</f>
        <v>16</v>
      </c>
      <c r="G553" s="20">
        <f>ROUNDUP((Tabla1[[#This Row],[COMPRA]]*1.35),0)</f>
        <v>15</v>
      </c>
    </row>
    <row r="554" spans="2:7" x14ac:dyDescent="0.25">
      <c r="B554" s="11">
        <v>170010010</v>
      </c>
      <c r="C554" s="12" t="s">
        <v>504</v>
      </c>
      <c r="D554" s="12" t="s">
        <v>358</v>
      </c>
      <c r="E554" s="13">
        <v>12.6</v>
      </c>
      <c r="F554" s="14">
        <f>ROUNDUP((Tabla1[[#This Row],[EFECTIVO]]*1.045),0)</f>
        <v>13</v>
      </c>
      <c r="G554" s="15">
        <f>ROUNDUP((Tabla1[[#This Row],[COMPRA]]*1.35),0)</f>
        <v>12</v>
      </c>
    </row>
    <row r="555" spans="2:7" x14ac:dyDescent="0.25">
      <c r="B555" s="16">
        <v>170010011</v>
      </c>
      <c r="C555" s="17" t="s">
        <v>505</v>
      </c>
      <c r="D555" s="17" t="s">
        <v>358</v>
      </c>
      <c r="E555" s="18">
        <v>9.7200000000000006</v>
      </c>
      <c r="F555" s="19">
        <f>ROUNDUP((Tabla1[[#This Row],[EFECTIVO]]*1.045),0)</f>
        <v>13</v>
      </c>
      <c r="G555" s="20">
        <f>ROUNDUP((Tabla1[[#This Row],[COMPRA]]*1.35),0)</f>
        <v>12</v>
      </c>
    </row>
    <row r="556" spans="2:7" x14ac:dyDescent="0.25">
      <c r="B556" s="11">
        <v>170010006</v>
      </c>
      <c r="C556" s="12" t="s">
        <v>506</v>
      </c>
      <c r="D556" s="12" t="s">
        <v>358</v>
      </c>
      <c r="E556" s="13">
        <v>12.6</v>
      </c>
      <c r="F556" s="14">
        <f>ROUNDUP((Tabla1[[#This Row],[EFECTIVO]]*1.045),0)</f>
        <v>15</v>
      </c>
      <c r="G556" s="15">
        <f>ROUNDUP((Tabla1[[#This Row],[COMPRA]]*1.35),0)</f>
        <v>14</v>
      </c>
    </row>
    <row r="557" spans="2:7" x14ac:dyDescent="0.25">
      <c r="B557" s="16">
        <v>170010002</v>
      </c>
      <c r="C557" s="17" t="s">
        <v>507</v>
      </c>
      <c r="D557" s="17" t="s">
        <v>358</v>
      </c>
      <c r="E557" s="18">
        <v>9.7200000000000006</v>
      </c>
      <c r="F557" s="19">
        <f>ROUNDUP((Tabla1[[#This Row],[EFECTIVO]]*1.045),0)</f>
        <v>19</v>
      </c>
      <c r="G557" s="20">
        <f>ROUNDUP((Tabla1[[#This Row],[COMPRA]]*1.35),0)</f>
        <v>18</v>
      </c>
    </row>
    <row r="558" spans="2:7" x14ac:dyDescent="0.25">
      <c r="B558" s="11" t="s">
        <v>399</v>
      </c>
      <c r="C558" s="12" t="s">
        <v>400</v>
      </c>
      <c r="D558" s="12" t="s">
        <v>401</v>
      </c>
      <c r="E558" s="13">
        <v>4.1399999999999997</v>
      </c>
      <c r="F558" s="14">
        <v>6.5</v>
      </c>
      <c r="G558" s="15">
        <v>6</v>
      </c>
    </row>
    <row r="559" spans="2:7" x14ac:dyDescent="0.25">
      <c r="B559" s="16"/>
      <c r="C559" s="17"/>
      <c r="D559" s="17"/>
      <c r="E559" s="17"/>
      <c r="F559" s="17"/>
      <c r="G559" s="28"/>
    </row>
    <row r="560" spans="2:7" x14ac:dyDescent="0.25">
      <c r="B560" s="21"/>
      <c r="C560" s="6" t="s">
        <v>954</v>
      </c>
      <c r="D560" s="6"/>
      <c r="E560" s="22"/>
      <c r="F560" s="23"/>
      <c r="G560" s="24"/>
    </row>
    <row r="561" spans="2:7" x14ac:dyDescent="0.25">
      <c r="B561" s="16" t="s">
        <v>618</v>
      </c>
      <c r="C561" s="17" t="s">
        <v>791</v>
      </c>
      <c r="D561" s="17"/>
      <c r="E561" s="17"/>
      <c r="F561" s="17">
        <v>56</v>
      </c>
      <c r="G561" s="28">
        <v>54</v>
      </c>
    </row>
    <row r="562" spans="2:7" x14ac:dyDescent="0.25">
      <c r="B562" s="11" t="s">
        <v>619</v>
      </c>
      <c r="C562" s="12" t="s">
        <v>580</v>
      </c>
      <c r="D562" s="12"/>
      <c r="E562" s="12"/>
      <c r="F562" s="12">
        <v>63</v>
      </c>
      <c r="G562" s="29">
        <v>60</v>
      </c>
    </row>
    <row r="563" spans="2:7" x14ac:dyDescent="0.25">
      <c r="B563" s="16" t="s">
        <v>620</v>
      </c>
      <c r="C563" s="17" t="s">
        <v>792</v>
      </c>
      <c r="D563" s="17"/>
      <c r="E563" s="17"/>
      <c r="F563" s="17">
        <v>56</v>
      </c>
      <c r="G563" s="28">
        <v>54</v>
      </c>
    </row>
    <row r="564" spans="2:7" x14ac:dyDescent="0.25">
      <c r="B564" s="11" t="s">
        <v>621</v>
      </c>
      <c r="C564" s="12" t="s">
        <v>793</v>
      </c>
      <c r="D564" s="12"/>
      <c r="E564" s="12"/>
      <c r="F564" s="12">
        <v>68</v>
      </c>
      <c r="G564" s="29">
        <v>65</v>
      </c>
    </row>
    <row r="565" spans="2:7" x14ac:dyDescent="0.25">
      <c r="B565" s="16" t="s">
        <v>622</v>
      </c>
      <c r="C565" s="17" t="s">
        <v>581</v>
      </c>
      <c r="D565" s="17"/>
      <c r="E565" s="17"/>
      <c r="F565" s="17">
        <v>54</v>
      </c>
      <c r="G565" s="28">
        <v>52</v>
      </c>
    </row>
    <row r="566" spans="2:7" x14ac:dyDescent="0.25">
      <c r="B566" s="11" t="s">
        <v>623</v>
      </c>
      <c r="C566" s="12" t="s">
        <v>794</v>
      </c>
      <c r="D566" s="12"/>
      <c r="E566" s="12"/>
      <c r="F566" s="12">
        <v>54</v>
      </c>
      <c r="G566" s="29">
        <v>52</v>
      </c>
    </row>
    <row r="567" spans="2:7" x14ac:dyDescent="0.25">
      <c r="B567" s="16" t="s">
        <v>624</v>
      </c>
      <c r="C567" s="17" t="s">
        <v>795</v>
      </c>
      <c r="D567" s="17"/>
      <c r="E567" s="17"/>
      <c r="F567" s="17">
        <v>55</v>
      </c>
      <c r="G567" s="28">
        <v>53</v>
      </c>
    </row>
    <row r="568" spans="2:7" x14ac:dyDescent="0.25">
      <c r="B568" s="11" t="s">
        <v>625</v>
      </c>
      <c r="C568" s="12" t="s">
        <v>796</v>
      </c>
      <c r="D568" s="12"/>
      <c r="E568" s="12"/>
      <c r="F568" s="12">
        <v>68</v>
      </c>
      <c r="G568" s="29">
        <v>65</v>
      </c>
    </row>
    <row r="569" spans="2:7" x14ac:dyDescent="0.25">
      <c r="B569" s="16" t="s">
        <v>626</v>
      </c>
      <c r="C569" s="17" t="s">
        <v>797</v>
      </c>
      <c r="D569" s="17"/>
      <c r="E569" s="17"/>
      <c r="F569" s="17">
        <v>56</v>
      </c>
      <c r="G569" s="28">
        <v>54</v>
      </c>
    </row>
    <row r="570" spans="2:7" x14ac:dyDescent="0.25">
      <c r="B570" s="11" t="s">
        <v>627</v>
      </c>
      <c r="C570" s="12" t="s">
        <v>798</v>
      </c>
      <c r="D570" s="12"/>
      <c r="E570" s="12"/>
      <c r="F570" s="12">
        <v>57</v>
      </c>
      <c r="G570" s="29">
        <v>55</v>
      </c>
    </row>
    <row r="571" spans="2:7" x14ac:dyDescent="0.25">
      <c r="B571" s="16" t="s">
        <v>582</v>
      </c>
      <c r="C571" s="17" t="s">
        <v>582</v>
      </c>
      <c r="D571" s="17"/>
      <c r="E571" s="17"/>
      <c r="F571" s="17">
        <v>56</v>
      </c>
      <c r="G571" s="28">
        <v>54</v>
      </c>
    </row>
    <row r="572" spans="2:7" x14ac:dyDescent="0.25">
      <c r="B572" s="11" t="s">
        <v>628</v>
      </c>
      <c r="C572" s="12" t="s">
        <v>799</v>
      </c>
      <c r="D572" s="12"/>
      <c r="E572" s="12"/>
      <c r="F572" s="12">
        <v>68</v>
      </c>
      <c r="G572" s="29">
        <v>65</v>
      </c>
    </row>
    <row r="573" spans="2:7" x14ac:dyDescent="0.25">
      <c r="B573" s="16" t="s">
        <v>629</v>
      </c>
      <c r="C573" s="17" t="s">
        <v>800</v>
      </c>
      <c r="D573" s="17"/>
      <c r="E573" s="17"/>
      <c r="F573" s="17">
        <v>68</v>
      </c>
      <c r="G573" s="28">
        <v>65</v>
      </c>
    </row>
    <row r="574" spans="2:7" x14ac:dyDescent="0.25">
      <c r="B574" s="11" t="s">
        <v>630</v>
      </c>
      <c r="C574" s="12" t="s">
        <v>801</v>
      </c>
      <c r="D574" s="12"/>
      <c r="E574" s="12"/>
      <c r="F574" s="12">
        <v>74</v>
      </c>
      <c r="G574" s="29">
        <v>71</v>
      </c>
    </row>
    <row r="575" spans="2:7" x14ac:dyDescent="0.25">
      <c r="B575" s="16" t="s">
        <v>631</v>
      </c>
      <c r="C575" s="17" t="s">
        <v>802</v>
      </c>
      <c r="D575" s="17"/>
      <c r="E575" s="17"/>
      <c r="F575" s="17">
        <v>56</v>
      </c>
      <c r="G575" s="28">
        <v>54</v>
      </c>
    </row>
    <row r="576" spans="2:7" x14ac:dyDescent="0.25">
      <c r="B576" s="11" t="s">
        <v>632</v>
      </c>
      <c r="C576" s="12" t="s">
        <v>803</v>
      </c>
      <c r="D576" s="12"/>
      <c r="E576" s="12"/>
      <c r="F576" s="12">
        <v>58</v>
      </c>
      <c r="G576" s="29">
        <v>56</v>
      </c>
    </row>
    <row r="577" spans="2:7" x14ac:dyDescent="0.25">
      <c r="B577" s="16" t="s">
        <v>633</v>
      </c>
      <c r="C577" s="17" t="s">
        <v>804</v>
      </c>
      <c r="D577" s="17"/>
      <c r="E577" s="17"/>
      <c r="F577" s="17">
        <v>56</v>
      </c>
      <c r="G577" s="28">
        <v>54</v>
      </c>
    </row>
    <row r="578" spans="2:7" x14ac:dyDescent="0.25">
      <c r="B578" s="11" t="s">
        <v>634</v>
      </c>
      <c r="C578" s="12" t="s">
        <v>805</v>
      </c>
      <c r="D578" s="12"/>
      <c r="E578" s="12"/>
      <c r="F578" s="12">
        <v>56</v>
      </c>
      <c r="G578" s="29">
        <v>54</v>
      </c>
    </row>
    <row r="579" spans="2:7" x14ac:dyDescent="0.25">
      <c r="B579" s="16" t="s">
        <v>635</v>
      </c>
      <c r="C579" s="17" t="s">
        <v>806</v>
      </c>
      <c r="D579" s="17"/>
      <c r="E579" s="17"/>
      <c r="F579" s="17">
        <v>68</v>
      </c>
      <c r="G579" s="28">
        <v>65</v>
      </c>
    </row>
    <row r="580" spans="2:7" x14ac:dyDescent="0.25">
      <c r="B580" s="11" t="s">
        <v>636</v>
      </c>
      <c r="C580" s="12" t="s">
        <v>807</v>
      </c>
      <c r="D580" s="12"/>
      <c r="E580" s="12"/>
      <c r="F580" s="12">
        <v>68</v>
      </c>
      <c r="G580" s="29">
        <v>65</v>
      </c>
    </row>
    <row r="581" spans="2:7" x14ac:dyDescent="0.25">
      <c r="B581" s="16" t="s">
        <v>637</v>
      </c>
      <c r="C581" s="17" t="s">
        <v>808</v>
      </c>
      <c r="D581" s="17"/>
      <c r="E581" s="17"/>
      <c r="F581" s="17">
        <v>58</v>
      </c>
      <c r="G581" s="28">
        <v>56</v>
      </c>
    </row>
    <row r="582" spans="2:7" x14ac:dyDescent="0.25">
      <c r="B582" s="11" t="s">
        <v>638</v>
      </c>
      <c r="C582" s="12" t="s">
        <v>809</v>
      </c>
      <c r="D582" s="12"/>
      <c r="E582" s="12"/>
      <c r="F582" s="12">
        <v>56</v>
      </c>
      <c r="G582" s="29">
        <v>54</v>
      </c>
    </row>
    <row r="583" spans="2:7" x14ac:dyDescent="0.25">
      <c r="B583" s="16" t="s">
        <v>639</v>
      </c>
      <c r="C583" s="17" t="s">
        <v>810</v>
      </c>
      <c r="D583" s="17"/>
      <c r="E583" s="17"/>
      <c r="F583" s="17">
        <v>58</v>
      </c>
      <c r="G583" s="28">
        <v>56</v>
      </c>
    </row>
    <row r="584" spans="2:7" x14ac:dyDescent="0.25">
      <c r="B584" s="11" t="s">
        <v>640</v>
      </c>
      <c r="C584" s="12" t="s">
        <v>811</v>
      </c>
      <c r="D584" s="12"/>
      <c r="E584" s="12"/>
      <c r="F584" s="12">
        <v>56</v>
      </c>
      <c r="G584" s="29">
        <v>54</v>
      </c>
    </row>
    <row r="585" spans="2:7" x14ac:dyDescent="0.25">
      <c r="B585" s="16" t="s">
        <v>641</v>
      </c>
      <c r="C585" s="17" t="s">
        <v>812</v>
      </c>
      <c r="D585" s="17"/>
      <c r="E585" s="17"/>
      <c r="F585" s="17">
        <v>58</v>
      </c>
      <c r="G585" s="28">
        <v>56</v>
      </c>
    </row>
    <row r="586" spans="2:7" x14ac:dyDescent="0.25">
      <c r="B586" s="11" t="s">
        <v>642</v>
      </c>
      <c r="C586" s="12" t="s">
        <v>813</v>
      </c>
      <c r="D586" s="12"/>
      <c r="E586" s="12"/>
      <c r="F586" s="12">
        <v>56</v>
      </c>
      <c r="G586" s="29">
        <v>54</v>
      </c>
    </row>
    <row r="587" spans="2:7" x14ac:dyDescent="0.25">
      <c r="B587" s="16" t="s">
        <v>643</v>
      </c>
      <c r="C587" s="17" t="s">
        <v>814</v>
      </c>
      <c r="D587" s="17"/>
      <c r="E587" s="17"/>
      <c r="F587" s="17">
        <v>54</v>
      </c>
      <c r="G587" s="28">
        <v>52</v>
      </c>
    </row>
    <row r="588" spans="2:7" x14ac:dyDescent="0.25">
      <c r="B588" s="11" t="s">
        <v>583</v>
      </c>
      <c r="C588" s="12" t="s">
        <v>583</v>
      </c>
      <c r="D588" s="12"/>
      <c r="E588" s="12"/>
      <c r="F588" s="12">
        <v>56</v>
      </c>
      <c r="G588" s="29">
        <v>54</v>
      </c>
    </row>
    <row r="589" spans="2:7" x14ac:dyDescent="0.25">
      <c r="B589" s="16" t="s">
        <v>644</v>
      </c>
      <c r="C589" s="17" t="s">
        <v>815</v>
      </c>
      <c r="D589" s="17"/>
      <c r="E589" s="17"/>
      <c r="F589" s="17">
        <v>68</v>
      </c>
      <c r="G589" s="28">
        <v>65</v>
      </c>
    </row>
    <row r="590" spans="2:7" x14ac:dyDescent="0.25">
      <c r="B590" s="11" t="s">
        <v>645</v>
      </c>
      <c r="C590" s="12" t="s">
        <v>816</v>
      </c>
      <c r="D590" s="12"/>
      <c r="E590" s="12"/>
      <c r="F590" s="12">
        <v>68</v>
      </c>
      <c r="G590" s="29">
        <v>65</v>
      </c>
    </row>
    <row r="591" spans="2:7" x14ac:dyDescent="0.25">
      <c r="B591" s="16" t="s">
        <v>646</v>
      </c>
      <c r="C591" s="17" t="s">
        <v>817</v>
      </c>
      <c r="D591" s="17"/>
      <c r="E591" s="17"/>
      <c r="F591" s="17">
        <v>56</v>
      </c>
      <c r="G591" s="28">
        <v>54</v>
      </c>
    </row>
    <row r="592" spans="2:7" x14ac:dyDescent="0.25">
      <c r="B592" s="11" t="s">
        <v>647</v>
      </c>
      <c r="C592" s="12" t="s">
        <v>818</v>
      </c>
      <c r="D592" s="12"/>
      <c r="E592" s="12"/>
      <c r="F592" s="12">
        <v>68</v>
      </c>
      <c r="G592" s="29">
        <v>65</v>
      </c>
    </row>
    <row r="593" spans="2:7" x14ac:dyDescent="0.25">
      <c r="B593" s="16" t="s">
        <v>648</v>
      </c>
      <c r="C593" s="17" t="s">
        <v>584</v>
      </c>
      <c r="D593" s="17"/>
      <c r="E593" s="17"/>
      <c r="F593" s="17">
        <v>58</v>
      </c>
      <c r="G593" s="28">
        <v>56</v>
      </c>
    </row>
    <row r="594" spans="2:7" x14ac:dyDescent="0.25">
      <c r="B594" s="11" t="s">
        <v>649</v>
      </c>
      <c r="C594" s="12" t="s">
        <v>819</v>
      </c>
      <c r="D594" s="12"/>
      <c r="E594" s="12"/>
      <c r="F594" s="12">
        <v>58</v>
      </c>
      <c r="G594" s="29">
        <v>56</v>
      </c>
    </row>
    <row r="595" spans="2:7" x14ac:dyDescent="0.25">
      <c r="B595" s="16" t="s">
        <v>650</v>
      </c>
      <c r="C595" s="17" t="s">
        <v>820</v>
      </c>
      <c r="D595" s="17"/>
      <c r="E595" s="17"/>
      <c r="F595" s="17">
        <v>56</v>
      </c>
      <c r="G595" s="28">
        <v>54</v>
      </c>
    </row>
    <row r="596" spans="2:7" x14ac:dyDescent="0.25">
      <c r="B596" s="11" t="s">
        <v>651</v>
      </c>
      <c r="C596" s="12" t="s">
        <v>821</v>
      </c>
      <c r="D596" s="12"/>
      <c r="E596" s="12"/>
      <c r="F596" s="12">
        <v>56</v>
      </c>
      <c r="G596" s="29">
        <v>54</v>
      </c>
    </row>
    <row r="597" spans="2:7" x14ac:dyDescent="0.25">
      <c r="B597" s="16" t="s">
        <v>652</v>
      </c>
      <c r="C597" s="17" t="s">
        <v>822</v>
      </c>
      <c r="D597" s="17"/>
      <c r="E597" s="17"/>
      <c r="F597" s="17">
        <v>68</v>
      </c>
      <c r="G597" s="28">
        <v>65</v>
      </c>
    </row>
    <row r="598" spans="2:7" x14ac:dyDescent="0.25">
      <c r="B598" s="11" t="s">
        <v>653</v>
      </c>
      <c r="C598" s="12" t="s">
        <v>823</v>
      </c>
      <c r="D598" s="12"/>
      <c r="E598" s="12"/>
      <c r="F598" s="12">
        <v>58</v>
      </c>
      <c r="G598" s="29">
        <v>56</v>
      </c>
    </row>
    <row r="599" spans="2:7" x14ac:dyDescent="0.25">
      <c r="B599" s="16" t="s">
        <v>654</v>
      </c>
      <c r="C599" s="17" t="s">
        <v>824</v>
      </c>
      <c r="D599" s="17"/>
      <c r="E599" s="17"/>
      <c r="F599" s="17">
        <v>68</v>
      </c>
      <c r="G599" s="28">
        <v>65</v>
      </c>
    </row>
    <row r="600" spans="2:7" x14ac:dyDescent="0.25">
      <c r="B600" s="11" t="s">
        <v>655</v>
      </c>
      <c r="C600" s="12" t="s">
        <v>825</v>
      </c>
      <c r="D600" s="12"/>
      <c r="E600" s="12"/>
      <c r="F600" s="12">
        <v>54</v>
      </c>
      <c r="G600" s="29">
        <v>52</v>
      </c>
    </row>
    <row r="601" spans="2:7" x14ac:dyDescent="0.25">
      <c r="B601" s="16" t="s">
        <v>656</v>
      </c>
      <c r="C601" s="17" t="s">
        <v>826</v>
      </c>
      <c r="D601" s="17"/>
      <c r="E601" s="17"/>
      <c r="F601" s="17">
        <v>56</v>
      </c>
      <c r="G601" s="28">
        <v>54</v>
      </c>
    </row>
    <row r="602" spans="2:7" x14ac:dyDescent="0.25">
      <c r="B602" s="11" t="s">
        <v>657</v>
      </c>
      <c r="C602" s="12" t="s">
        <v>827</v>
      </c>
      <c r="D602" s="12"/>
      <c r="E602" s="12"/>
      <c r="F602" s="12">
        <v>56</v>
      </c>
      <c r="G602" s="29">
        <v>54</v>
      </c>
    </row>
    <row r="603" spans="2:7" x14ac:dyDescent="0.25">
      <c r="B603" s="16" t="s">
        <v>658</v>
      </c>
      <c r="C603" s="17" t="s">
        <v>828</v>
      </c>
      <c r="D603" s="17"/>
      <c r="E603" s="17"/>
      <c r="F603" s="17">
        <v>68</v>
      </c>
      <c r="G603" s="28">
        <v>65</v>
      </c>
    </row>
    <row r="604" spans="2:7" x14ac:dyDescent="0.25">
      <c r="B604" s="11" t="s">
        <v>659</v>
      </c>
      <c r="C604" s="12" t="s">
        <v>829</v>
      </c>
      <c r="D604" s="12"/>
      <c r="E604" s="12"/>
      <c r="F604" s="12">
        <v>72</v>
      </c>
      <c r="G604" s="29">
        <v>69</v>
      </c>
    </row>
    <row r="605" spans="2:7" x14ac:dyDescent="0.25">
      <c r="B605" s="16" t="s">
        <v>660</v>
      </c>
      <c r="C605" s="17" t="s">
        <v>830</v>
      </c>
      <c r="D605" s="17"/>
      <c r="E605" s="17"/>
      <c r="F605" s="17">
        <v>68</v>
      </c>
      <c r="G605" s="28">
        <v>65</v>
      </c>
    </row>
    <row r="606" spans="2:7" x14ac:dyDescent="0.25">
      <c r="B606" s="11" t="s">
        <v>661</v>
      </c>
      <c r="C606" s="12" t="s">
        <v>831</v>
      </c>
      <c r="D606" s="12"/>
      <c r="E606" s="12"/>
      <c r="F606" s="12">
        <v>58</v>
      </c>
      <c r="G606" s="29">
        <v>56</v>
      </c>
    </row>
    <row r="607" spans="2:7" x14ac:dyDescent="0.25">
      <c r="B607" s="16" t="s">
        <v>662</v>
      </c>
      <c r="C607" s="17" t="s">
        <v>832</v>
      </c>
      <c r="D607" s="17"/>
      <c r="E607" s="17"/>
      <c r="F607" s="17">
        <v>56</v>
      </c>
      <c r="G607" s="28">
        <v>54</v>
      </c>
    </row>
    <row r="608" spans="2:7" x14ac:dyDescent="0.25">
      <c r="B608" s="11" t="s">
        <v>663</v>
      </c>
      <c r="C608" s="12" t="s">
        <v>833</v>
      </c>
      <c r="D608" s="12"/>
      <c r="E608" s="12"/>
      <c r="F608" s="12">
        <v>58</v>
      </c>
      <c r="G608" s="29">
        <v>56</v>
      </c>
    </row>
    <row r="609" spans="2:7" x14ac:dyDescent="0.25">
      <c r="B609" s="16" t="s">
        <v>664</v>
      </c>
      <c r="C609" s="17" t="s">
        <v>834</v>
      </c>
      <c r="D609" s="17"/>
      <c r="E609" s="17"/>
      <c r="F609" s="17">
        <v>56</v>
      </c>
      <c r="G609" s="28">
        <v>54</v>
      </c>
    </row>
    <row r="610" spans="2:7" x14ac:dyDescent="0.25">
      <c r="B610" s="11" t="s">
        <v>665</v>
      </c>
      <c r="C610" s="12" t="s">
        <v>835</v>
      </c>
      <c r="D610" s="12"/>
      <c r="E610" s="12"/>
      <c r="F610" s="12">
        <v>72</v>
      </c>
      <c r="G610" s="29">
        <v>69</v>
      </c>
    </row>
    <row r="611" spans="2:7" x14ac:dyDescent="0.25">
      <c r="B611" s="16" t="s">
        <v>666</v>
      </c>
      <c r="C611" s="17" t="s">
        <v>836</v>
      </c>
      <c r="D611" s="17"/>
      <c r="E611" s="17"/>
      <c r="F611" s="17">
        <v>68</v>
      </c>
      <c r="G611" s="28">
        <v>65</v>
      </c>
    </row>
    <row r="612" spans="2:7" x14ac:dyDescent="0.25">
      <c r="B612" s="11" t="s">
        <v>667</v>
      </c>
      <c r="C612" s="12" t="s">
        <v>837</v>
      </c>
      <c r="D612" s="12"/>
      <c r="E612" s="12"/>
      <c r="F612" s="12">
        <v>68</v>
      </c>
      <c r="G612" s="29">
        <v>65</v>
      </c>
    </row>
    <row r="613" spans="2:7" x14ac:dyDescent="0.25">
      <c r="B613" s="16" t="s">
        <v>668</v>
      </c>
      <c r="C613" s="17" t="s">
        <v>838</v>
      </c>
      <c r="D613" s="17"/>
      <c r="E613" s="17"/>
      <c r="F613" s="17">
        <v>68</v>
      </c>
      <c r="G613" s="28">
        <v>65</v>
      </c>
    </row>
    <row r="614" spans="2:7" x14ac:dyDescent="0.25">
      <c r="B614" s="11" t="s">
        <v>585</v>
      </c>
      <c r="C614" s="12" t="s">
        <v>585</v>
      </c>
      <c r="D614" s="12"/>
      <c r="E614" s="12"/>
      <c r="F614" s="12">
        <v>68</v>
      </c>
      <c r="G614" s="29">
        <v>65</v>
      </c>
    </row>
    <row r="615" spans="2:7" x14ac:dyDescent="0.25">
      <c r="B615" s="16" t="s">
        <v>669</v>
      </c>
      <c r="C615" s="17" t="s">
        <v>839</v>
      </c>
      <c r="D615" s="17"/>
      <c r="E615" s="17"/>
      <c r="F615" s="17">
        <v>61</v>
      </c>
      <c r="G615" s="28">
        <v>59</v>
      </c>
    </row>
    <row r="616" spans="2:7" x14ac:dyDescent="0.25">
      <c r="B616" s="11" t="s">
        <v>670</v>
      </c>
      <c r="C616" s="12" t="s">
        <v>840</v>
      </c>
      <c r="D616" s="12"/>
      <c r="E616" s="12"/>
      <c r="F616" s="12">
        <v>68</v>
      </c>
      <c r="G616" s="29">
        <v>65</v>
      </c>
    </row>
    <row r="617" spans="2:7" x14ac:dyDescent="0.25">
      <c r="B617" s="16" t="s">
        <v>671</v>
      </c>
      <c r="C617" s="17" t="s">
        <v>841</v>
      </c>
      <c r="D617" s="17"/>
      <c r="E617" s="17"/>
      <c r="F617" s="17">
        <v>68</v>
      </c>
      <c r="G617" s="28">
        <v>65</v>
      </c>
    </row>
    <row r="618" spans="2:7" x14ac:dyDescent="0.25">
      <c r="B618" s="11" t="s">
        <v>672</v>
      </c>
      <c r="C618" s="12" t="s">
        <v>842</v>
      </c>
      <c r="D618" s="12"/>
      <c r="E618" s="12"/>
      <c r="F618" s="12">
        <v>74</v>
      </c>
      <c r="G618" s="29">
        <v>71</v>
      </c>
    </row>
    <row r="619" spans="2:7" x14ac:dyDescent="0.25">
      <c r="B619" s="16" t="s">
        <v>673</v>
      </c>
      <c r="C619" s="17" t="s">
        <v>843</v>
      </c>
      <c r="D619" s="17"/>
      <c r="E619" s="17"/>
      <c r="F619" s="17">
        <v>74</v>
      </c>
      <c r="G619" s="28">
        <v>71</v>
      </c>
    </row>
    <row r="620" spans="2:7" x14ac:dyDescent="0.25">
      <c r="B620" s="11" t="s">
        <v>674</v>
      </c>
      <c r="C620" s="12" t="s">
        <v>844</v>
      </c>
      <c r="D620" s="12"/>
      <c r="E620" s="12"/>
      <c r="F620" s="12">
        <v>61</v>
      </c>
      <c r="G620" s="29">
        <v>59</v>
      </c>
    </row>
    <row r="621" spans="2:7" x14ac:dyDescent="0.25">
      <c r="B621" s="16" t="s">
        <v>675</v>
      </c>
      <c r="C621" s="17" t="s">
        <v>845</v>
      </c>
      <c r="D621" s="17"/>
      <c r="E621" s="17"/>
      <c r="F621" s="17">
        <v>78</v>
      </c>
      <c r="G621" s="28">
        <v>75</v>
      </c>
    </row>
    <row r="622" spans="2:7" x14ac:dyDescent="0.25">
      <c r="B622" s="11" t="s">
        <v>586</v>
      </c>
      <c r="C622" s="12" t="s">
        <v>586</v>
      </c>
      <c r="D622" s="12"/>
      <c r="E622" s="12"/>
      <c r="F622" s="12">
        <v>74</v>
      </c>
      <c r="G622" s="29">
        <v>71</v>
      </c>
    </row>
    <row r="623" spans="2:7" x14ac:dyDescent="0.25">
      <c r="B623" s="16" t="s">
        <v>676</v>
      </c>
      <c r="C623" s="17" t="s">
        <v>846</v>
      </c>
      <c r="D623" s="17"/>
      <c r="E623" s="17"/>
      <c r="F623" s="17">
        <v>68</v>
      </c>
      <c r="G623" s="28">
        <v>65</v>
      </c>
    </row>
    <row r="624" spans="2:7" x14ac:dyDescent="0.25">
      <c r="B624" s="11" t="s">
        <v>587</v>
      </c>
      <c r="C624" s="12" t="s">
        <v>587</v>
      </c>
      <c r="D624" s="12"/>
      <c r="E624" s="12"/>
      <c r="F624" s="12">
        <v>68</v>
      </c>
      <c r="G624" s="29">
        <v>65</v>
      </c>
    </row>
    <row r="625" spans="2:7" x14ac:dyDescent="0.25">
      <c r="B625" s="16" t="s">
        <v>588</v>
      </c>
      <c r="C625" s="17" t="s">
        <v>588</v>
      </c>
      <c r="D625" s="17"/>
      <c r="E625" s="17"/>
      <c r="F625" s="17">
        <v>68</v>
      </c>
      <c r="G625" s="28">
        <v>65</v>
      </c>
    </row>
    <row r="626" spans="2:7" x14ac:dyDescent="0.25">
      <c r="B626" s="11" t="s">
        <v>677</v>
      </c>
      <c r="C626" s="12" t="s">
        <v>847</v>
      </c>
      <c r="D626" s="12"/>
      <c r="E626" s="12"/>
      <c r="F626" s="12">
        <v>68</v>
      </c>
      <c r="G626" s="29">
        <v>65</v>
      </c>
    </row>
    <row r="627" spans="2:7" x14ac:dyDescent="0.25">
      <c r="B627" s="16" t="s">
        <v>678</v>
      </c>
      <c r="C627" s="17" t="s">
        <v>848</v>
      </c>
      <c r="D627" s="17"/>
      <c r="E627" s="17"/>
      <c r="F627" s="17">
        <v>61</v>
      </c>
      <c r="G627" s="28">
        <v>59</v>
      </c>
    </row>
    <row r="628" spans="2:7" x14ac:dyDescent="0.25">
      <c r="B628" s="11" t="s">
        <v>679</v>
      </c>
      <c r="C628" s="12" t="s">
        <v>849</v>
      </c>
      <c r="D628" s="12"/>
      <c r="E628" s="12"/>
      <c r="F628" s="12">
        <v>68</v>
      </c>
      <c r="G628" s="29">
        <v>65</v>
      </c>
    </row>
    <row r="629" spans="2:7" x14ac:dyDescent="0.25">
      <c r="B629" s="16" t="s">
        <v>680</v>
      </c>
      <c r="C629" s="17" t="s">
        <v>850</v>
      </c>
      <c r="D629" s="17"/>
      <c r="E629" s="17"/>
      <c r="F629" s="17">
        <v>68</v>
      </c>
      <c r="G629" s="28">
        <v>65</v>
      </c>
    </row>
    <row r="630" spans="2:7" x14ac:dyDescent="0.25">
      <c r="B630" s="11" t="s">
        <v>681</v>
      </c>
      <c r="C630" s="12" t="s">
        <v>851</v>
      </c>
      <c r="D630" s="12"/>
      <c r="E630" s="12"/>
      <c r="F630" s="12">
        <v>72</v>
      </c>
      <c r="G630" s="29">
        <v>69</v>
      </c>
    </row>
    <row r="631" spans="2:7" x14ac:dyDescent="0.25">
      <c r="B631" s="16" t="s">
        <v>682</v>
      </c>
      <c r="C631" s="17" t="s">
        <v>589</v>
      </c>
      <c r="D631" s="17"/>
      <c r="E631" s="17"/>
      <c r="F631" s="17">
        <v>57</v>
      </c>
      <c r="G631" s="28">
        <v>55</v>
      </c>
    </row>
    <row r="632" spans="2:7" x14ac:dyDescent="0.25">
      <c r="B632" s="11" t="s">
        <v>683</v>
      </c>
      <c r="C632" s="12" t="s">
        <v>852</v>
      </c>
      <c r="D632" s="12"/>
      <c r="E632" s="12"/>
      <c r="F632" s="12">
        <v>72</v>
      </c>
      <c r="G632" s="29">
        <v>69</v>
      </c>
    </row>
    <row r="633" spans="2:7" x14ac:dyDescent="0.25">
      <c r="B633" s="16" t="s">
        <v>590</v>
      </c>
      <c r="C633" s="17" t="s">
        <v>590</v>
      </c>
      <c r="D633" s="17"/>
      <c r="E633" s="17"/>
      <c r="F633" s="17">
        <v>68</v>
      </c>
      <c r="G633" s="28">
        <v>65</v>
      </c>
    </row>
    <row r="634" spans="2:7" x14ac:dyDescent="0.25">
      <c r="B634" s="11" t="s">
        <v>684</v>
      </c>
      <c r="C634" s="12" t="s">
        <v>853</v>
      </c>
      <c r="D634" s="12"/>
      <c r="E634" s="12"/>
      <c r="F634" s="12">
        <v>68</v>
      </c>
      <c r="G634" s="29">
        <v>65</v>
      </c>
    </row>
    <row r="635" spans="2:7" x14ac:dyDescent="0.25">
      <c r="B635" s="16" t="s">
        <v>591</v>
      </c>
      <c r="C635" s="17" t="s">
        <v>591</v>
      </c>
      <c r="D635" s="17"/>
      <c r="E635" s="17"/>
      <c r="F635" s="17">
        <v>66</v>
      </c>
      <c r="G635" s="28">
        <v>63</v>
      </c>
    </row>
    <row r="636" spans="2:7" x14ac:dyDescent="0.25">
      <c r="B636" s="11" t="s">
        <v>685</v>
      </c>
      <c r="C636" s="12" t="s">
        <v>854</v>
      </c>
      <c r="D636" s="12"/>
      <c r="E636" s="12"/>
      <c r="F636" s="12">
        <v>68</v>
      </c>
      <c r="G636" s="29">
        <v>65</v>
      </c>
    </row>
    <row r="637" spans="2:7" x14ac:dyDescent="0.25">
      <c r="B637" s="16" t="s">
        <v>686</v>
      </c>
      <c r="C637" s="17" t="s">
        <v>855</v>
      </c>
      <c r="D637" s="17"/>
      <c r="E637" s="17"/>
      <c r="F637" s="17">
        <v>68</v>
      </c>
      <c r="G637" s="28">
        <v>65</v>
      </c>
    </row>
    <row r="638" spans="2:7" x14ac:dyDescent="0.25">
      <c r="B638" s="11" t="s">
        <v>592</v>
      </c>
      <c r="C638" s="12" t="s">
        <v>592</v>
      </c>
      <c r="D638" s="12"/>
      <c r="E638" s="12"/>
      <c r="F638" s="12">
        <v>56</v>
      </c>
      <c r="G638" s="29">
        <v>54</v>
      </c>
    </row>
    <row r="639" spans="2:7" x14ac:dyDescent="0.25">
      <c r="B639" s="16" t="s">
        <v>593</v>
      </c>
      <c r="C639" s="17" t="s">
        <v>593</v>
      </c>
      <c r="D639" s="17"/>
      <c r="E639" s="17"/>
      <c r="F639" s="17">
        <v>68</v>
      </c>
      <c r="G639" s="28">
        <v>65</v>
      </c>
    </row>
    <row r="640" spans="2:7" x14ac:dyDescent="0.25">
      <c r="B640" s="11" t="s">
        <v>687</v>
      </c>
      <c r="C640" s="12" t="s">
        <v>856</v>
      </c>
      <c r="D640" s="12"/>
      <c r="E640" s="12"/>
      <c r="F640" s="12">
        <v>46</v>
      </c>
      <c r="G640" s="29">
        <v>44</v>
      </c>
    </row>
    <row r="641" spans="2:7" x14ac:dyDescent="0.25">
      <c r="B641" s="16" t="s">
        <v>594</v>
      </c>
      <c r="C641" s="17" t="s">
        <v>594</v>
      </c>
      <c r="D641" s="17"/>
      <c r="E641" s="17"/>
      <c r="F641" s="17">
        <v>60</v>
      </c>
      <c r="G641" s="28">
        <v>58</v>
      </c>
    </row>
    <row r="642" spans="2:7" x14ac:dyDescent="0.25">
      <c r="B642" s="11" t="s">
        <v>595</v>
      </c>
      <c r="C642" s="12" t="s">
        <v>595</v>
      </c>
      <c r="D642" s="12"/>
      <c r="E642" s="12"/>
      <c r="F642" s="12">
        <v>54</v>
      </c>
      <c r="G642" s="29">
        <v>52</v>
      </c>
    </row>
    <row r="643" spans="2:7" x14ac:dyDescent="0.25">
      <c r="B643" s="16" t="s">
        <v>688</v>
      </c>
      <c r="C643" s="17" t="s">
        <v>857</v>
      </c>
      <c r="D643" s="17"/>
      <c r="E643" s="17"/>
      <c r="F643" s="17">
        <v>46</v>
      </c>
      <c r="G643" s="28">
        <v>44</v>
      </c>
    </row>
    <row r="644" spans="2:7" x14ac:dyDescent="0.25">
      <c r="B644" s="11" t="s">
        <v>689</v>
      </c>
      <c r="C644" s="12" t="s">
        <v>858</v>
      </c>
      <c r="D644" s="12"/>
      <c r="E644" s="12"/>
      <c r="F644" s="12">
        <v>72</v>
      </c>
      <c r="G644" s="29">
        <v>69</v>
      </c>
    </row>
    <row r="645" spans="2:7" x14ac:dyDescent="0.25">
      <c r="B645" s="16" t="s">
        <v>690</v>
      </c>
      <c r="C645" s="17" t="s">
        <v>859</v>
      </c>
      <c r="D645" s="17"/>
      <c r="E645" s="17"/>
      <c r="F645" s="17">
        <v>68</v>
      </c>
      <c r="G645" s="28">
        <v>65</v>
      </c>
    </row>
    <row r="646" spans="2:7" x14ac:dyDescent="0.25">
      <c r="B646" s="11" t="s">
        <v>691</v>
      </c>
      <c r="C646" s="12" t="s">
        <v>860</v>
      </c>
      <c r="D646" s="12"/>
      <c r="E646" s="12"/>
      <c r="F646" s="12">
        <v>61</v>
      </c>
      <c r="G646" s="29">
        <v>59</v>
      </c>
    </row>
    <row r="647" spans="2:7" x14ac:dyDescent="0.25">
      <c r="B647" s="16" t="s">
        <v>692</v>
      </c>
      <c r="C647" s="17" t="s">
        <v>861</v>
      </c>
      <c r="D647" s="17"/>
      <c r="E647" s="17"/>
      <c r="F647" s="17">
        <v>68</v>
      </c>
      <c r="G647" s="28">
        <v>65</v>
      </c>
    </row>
    <row r="648" spans="2:7" x14ac:dyDescent="0.25">
      <c r="B648" s="11" t="s">
        <v>596</v>
      </c>
      <c r="C648" s="12" t="s">
        <v>596</v>
      </c>
      <c r="D648" s="12"/>
      <c r="E648" s="12"/>
      <c r="F648" s="12">
        <v>58</v>
      </c>
      <c r="G648" s="29">
        <v>56</v>
      </c>
    </row>
    <row r="649" spans="2:7" x14ac:dyDescent="0.25">
      <c r="B649" s="16" t="s">
        <v>693</v>
      </c>
      <c r="C649" s="17" t="s">
        <v>862</v>
      </c>
      <c r="D649" s="17"/>
      <c r="E649" s="17"/>
      <c r="F649" s="17">
        <v>68</v>
      </c>
      <c r="G649" s="28">
        <v>65</v>
      </c>
    </row>
    <row r="650" spans="2:7" x14ac:dyDescent="0.25">
      <c r="B650" s="11" t="s">
        <v>694</v>
      </c>
      <c r="C650" s="12" t="s">
        <v>863</v>
      </c>
      <c r="D650" s="12"/>
      <c r="E650" s="12"/>
      <c r="F650" s="12">
        <v>58</v>
      </c>
      <c r="G650" s="29">
        <v>56</v>
      </c>
    </row>
    <row r="651" spans="2:7" x14ac:dyDescent="0.25">
      <c r="B651" s="16" t="s">
        <v>695</v>
      </c>
      <c r="C651" s="17" t="s">
        <v>864</v>
      </c>
      <c r="D651" s="17"/>
      <c r="E651" s="17"/>
      <c r="F651" s="17">
        <v>68</v>
      </c>
      <c r="G651" s="28">
        <v>65</v>
      </c>
    </row>
    <row r="652" spans="2:7" x14ac:dyDescent="0.25">
      <c r="B652" s="11" t="s">
        <v>696</v>
      </c>
      <c r="C652" s="12" t="s">
        <v>865</v>
      </c>
      <c r="D652" s="12"/>
      <c r="E652" s="12"/>
      <c r="F652" s="12">
        <v>71</v>
      </c>
      <c r="G652" s="29">
        <v>68</v>
      </c>
    </row>
    <row r="653" spans="2:7" x14ac:dyDescent="0.25">
      <c r="B653" s="16" t="s">
        <v>697</v>
      </c>
      <c r="C653" s="17" t="s">
        <v>866</v>
      </c>
      <c r="D653" s="17"/>
      <c r="E653" s="17"/>
      <c r="F653" s="17">
        <v>68</v>
      </c>
      <c r="G653" s="28">
        <v>65</v>
      </c>
    </row>
    <row r="654" spans="2:7" x14ac:dyDescent="0.25">
      <c r="B654" s="11" t="s">
        <v>597</v>
      </c>
      <c r="C654" s="12" t="s">
        <v>597</v>
      </c>
      <c r="D654" s="12"/>
      <c r="E654" s="12"/>
      <c r="F654" s="12">
        <v>56</v>
      </c>
      <c r="G654" s="29">
        <v>54</v>
      </c>
    </row>
    <row r="655" spans="2:7" x14ac:dyDescent="0.25">
      <c r="B655" s="16" t="s">
        <v>598</v>
      </c>
      <c r="C655" s="17" t="s">
        <v>598</v>
      </c>
      <c r="D655" s="17"/>
      <c r="E655" s="17"/>
      <c r="F655" s="17">
        <v>68</v>
      </c>
      <c r="G655" s="28">
        <v>65</v>
      </c>
    </row>
    <row r="656" spans="2:7" x14ac:dyDescent="0.25">
      <c r="B656" s="11" t="s">
        <v>698</v>
      </c>
      <c r="C656" s="12" t="s">
        <v>867</v>
      </c>
      <c r="D656" s="12"/>
      <c r="E656" s="12"/>
      <c r="F656" s="12">
        <v>68</v>
      </c>
      <c r="G656" s="29">
        <v>65</v>
      </c>
    </row>
    <row r="657" spans="2:7" x14ac:dyDescent="0.25">
      <c r="B657" s="16" t="s">
        <v>699</v>
      </c>
      <c r="C657" s="17" t="s">
        <v>868</v>
      </c>
      <c r="D657" s="17"/>
      <c r="E657" s="17"/>
      <c r="F657" s="17">
        <v>58</v>
      </c>
      <c r="G657" s="28">
        <v>56</v>
      </c>
    </row>
    <row r="658" spans="2:7" x14ac:dyDescent="0.25">
      <c r="B658" s="11" t="s">
        <v>700</v>
      </c>
      <c r="C658" s="12" t="s">
        <v>869</v>
      </c>
      <c r="D658" s="12"/>
      <c r="E658" s="12"/>
      <c r="F658" s="12">
        <v>68</v>
      </c>
      <c r="G658" s="29">
        <v>65</v>
      </c>
    </row>
    <row r="659" spans="2:7" x14ac:dyDescent="0.25">
      <c r="B659" s="16" t="s">
        <v>701</v>
      </c>
      <c r="C659" s="17" t="s">
        <v>870</v>
      </c>
      <c r="D659" s="17"/>
      <c r="E659" s="17"/>
      <c r="F659" s="17">
        <v>68</v>
      </c>
      <c r="G659" s="28">
        <v>65</v>
      </c>
    </row>
    <row r="660" spans="2:7" x14ac:dyDescent="0.25">
      <c r="B660" s="11" t="s">
        <v>702</v>
      </c>
      <c r="C660" s="12" t="s">
        <v>599</v>
      </c>
      <c r="D660" s="12"/>
      <c r="E660" s="12"/>
      <c r="F660" s="12">
        <v>48</v>
      </c>
      <c r="G660" s="29">
        <v>46</v>
      </c>
    </row>
    <row r="661" spans="2:7" x14ac:dyDescent="0.25">
      <c r="B661" s="16" t="s">
        <v>703</v>
      </c>
      <c r="C661" s="17" t="s">
        <v>871</v>
      </c>
      <c r="D661" s="17"/>
      <c r="E661" s="17"/>
      <c r="F661" s="17">
        <v>95</v>
      </c>
      <c r="G661" s="28">
        <v>91</v>
      </c>
    </row>
    <row r="662" spans="2:7" x14ac:dyDescent="0.25">
      <c r="B662" s="11" t="s">
        <v>704</v>
      </c>
      <c r="C662" s="12" t="s">
        <v>872</v>
      </c>
      <c r="D662" s="12"/>
      <c r="E662" s="12"/>
      <c r="F662" s="12">
        <v>58</v>
      </c>
      <c r="G662" s="29">
        <v>56</v>
      </c>
    </row>
    <row r="663" spans="2:7" x14ac:dyDescent="0.25">
      <c r="B663" s="16" t="s">
        <v>705</v>
      </c>
      <c r="C663" s="17" t="s">
        <v>600</v>
      </c>
      <c r="D663" s="17"/>
      <c r="E663" s="17"/>
      <c r="F663" s="17">
        <v>54</v>
      </c>
      <c r="G663" s="28">
        <v>52</v>
      </c>
    </row>
    <row r="664" spans="2:7" x14ac:dyDescent="0.25">
      <c r="B664" s="11" t="s">
        <v>601</v>
      </c>
      <c r="C664" s="12" t="s">
        <v>601</v>
      </c>
      <c r="D664" s="12"/>
      <c r="E664" s="12"/>
      <c r="F664" s="12"/>
      <c r="G664" s="29"/>
    </row>
    <row r="665" spans="2:7" x14ac:dyDescent="0.25">
      <c r="B665" s="16" t="s">
        <v>706</v>
      </c>
      <c r="C665" s="17" t="s">
        <v>873</v>
      </c>
      <c r="D665" s="17"/>
      <c r="E665" s="17"/>
      <c r="F665" s="17">
        <v>50</v>
      </c>
      <c r="G665" s="28">
        <v>48</v>
      </c>
    </row>
    <row r="666" spans="2:7" x14ac:dyDescent="0.25">
      <c r="B666" s="11" t="s">
        <v>707</v>
      </c>
      <c r="C666" s="12" t="s">
        <v>874</v>
      </c>
      <c r="D666" s="12"/>
      <c r="E666" s="12"/>
      <c r="F666" s="12">
        <v>68</v>
      </c>
      <c r="G666" s="29">
        <v>65</v>
      </c>
    </row>
    <row r="667" spans="2:7" x14ac:dyDescent="0.25">
      <c r="B667" s="16" t="s">
        <v>708</v>
      </c>
      <c r="C667" s="17" t="s">
        <v>875</v>
      </c>
      <c r="D667" s="17"/>
      <c r="E667" s="17"/>
      <c r="F667" s="17">
        <v>57</v>
      </c>
      <c r="G667" s="28">
        <v>55</v>
      </c>
    </row>
    <row r="668" spans="2:7" x14ac:dyDescent="0.25">
      <c r="B668" s="11" t="s">
        <v>709</v>
      </c>
      <c r="C668" s="12" t="s">
        <v>876</v>
      </c>
      <c r="D668" s="12"/>
      <c r="E668" s="12"/>
      <c r="F668" s="12">
        <v>58</v>
      </c>
      <c r="G668" s="29">
        <v>56</v>
      </c>
    </row>
    <row r="669" spans="2:7" x14ac:dyDescent="0.25">
      <c r="B669" s="16" t="s">
        <v>710</v>
      </c>
      <c r="C669" s="17" t="s">
        <v>877</v>
      </c>
      <c r="D669" s="17"/>
      <c r="E669" s="17"/>
      <c r="F669" s="17">
        <v>56</v>
      </c>
      <c r="G669" s="28">
        <v>54</v>
      </c>
    </row>
    <row r="670" spans="2:7" x14ac:dyDescent="0.25">
      <c r="B670" s="11" t="s">
        <v>711</v>
      </c>
      <c r="C670" s="12" t="s">
        <v>878</v>
      </c>
      <c r="D670" s="12"/>
      <c r="E670" s="12"/>
      <c r="F670" s="12">
        <v>68</v>
      </c>
      <c r="G670" s="29">
        <v>65</v>
      </c>
    </row>
    <row r="671" spans="2:7" x14ac:dyDescent="0.25">
      <c r="B671" s="16" t="s">
        <v>712</v>
      </c>
      <c r="C671" s="17" t="s">
        <v>879</v>
      </c>
      <c r="D671" s="17"/>
      <c r="E671" s="17"/>
      <c r="F671" s="17">
        <v>54</v>
      </c>
      <c r="G671" s="28">
        <v>52</v>
      </c>
    </row>
    <row r="672" spans="2:7" x14ac:dyDescent="0.25">
      <c r="B672" s="11" t="s">
        <v>713</v>
      </c>
      <c r="C672" s="12" t="s">
        <v>880</v>
      </c>
      <c r="D672" s="12"/>
      <c r="E672" s="12"/>
      <c r="F672" s="12">
        <v>48</v>
      </c>
      <c r="G672" s="29">
        <v>46</v>
      </c>
    </row>
    <row r="673" spans="2:7" x14ac:dyDescent="0.25">
      <c r="B673" s="16" t="s">
        <v>714</v>
      </c>
      <c r="C673" s="17" t="s">
        <v>881</v>
      </c>
      <c r="D673" s="17"/>
      <c r="E673" s="17"/>
      <c r="F673" s="17">
        <v>58</v>
      </c>
      <c r="G673" s="28">
        <v>56</v>
      </c>
    </row>
    <row r="674" spans="2:7" x14ac:dyDescent="0.25">
      <c r="B674" s="11" t="s">
        <v>715</v>
      </c>
      <c r="C674" s="12" t="s">
        <v>602</v>
      </c>
      <c r="D674" s="12"/>
      <c r="E674" s="12"/>
      <c r="F674" s="12">
        <v>56</v>
      </c>
      <c r="G674" s="29">
        <v>54</v>
      </c>
    </row>
    <row r="675" spans="2:7" x14ac:dyDescent="0.25">
      <c r="B675" s="16" t="s">
        <v>716</v>
      </c>
      <c r="C675" s="17" t="s">
        <v>882</v>
      </c>
      <c r="D675" s="17"/>
      <c r="E675" s="17"/>
      <c r="F675" s="17">
        <v>54</v>
      </c>
      <c r="G675" s="28">
        <v>52</v>
      </c>
    </row>
    <row r="676" spans="2:7" x14ac:dyDescent="0.25">
      <c r="B676" s="11" t="s">
        <v>717</v>
      </c>
      <c r="C676" s="12" t="s">
        <v>883</v>
      </c>
      <c r="D676" s="12"/>
      <c r="E676" s="12"/>
      <c r="F676" s="12">
        <v>68</v>
      </c>
      <c r="G676" s="29">
        <v>65</v>
      </c>
    </row>
    <row r="677" spans="2:7" x14ac:dyDescent="0.25">
      <c r="B677" s="16" t="s">
        <v>718</v>
      </c>
      <c r="C677" s="17" t="s">
        <v>884</v>
      </c>
      <c r="D677" s="17"/>
      <c r="E677" s="17"/>
      <c r="F677" s="17">
        <v>56</v>
      </c>
      <c r="G677" s="28">
        <v>54</v>
      </c>
    </row>
    <row r="678" spans="2:7" x14ac:dyDescent="0.25">
      <c r="B678" s="11" t="s">
        <v>719</v>
      </c>
      <c r="C678" s="12" t="s">
        <v>885</v>
      </c>
      <c r="D678" s="12"/>
      <c r="E678" s="12"/>
      <c r="F678" s="12">
        <v>58</v>
      </c>
      <c r="G678" s="29">
        <v>56</v>
      </c>
    </row>
    <row r="679" spans="2:7" x14ac:dyDescent="0.25">
      <c r="B679" s="16" t="s">
        <v>720</v>
      </c>
      <c r="C679" s="17" t="s">
        <v>886</v>
      </c>
      <c r="D679" s="17"/>
      <c r="E679" s="17"/>
      <c r="F679" s="17">
        <v>56</v>
      </c>
      <c r="G679" s="28">
        <v>54</v>
      </c>
    </row>
    <row r="680" spans="2:7" x14ac:dyDescent="0.25">
      <c r="B680" s="11" t="s">
        <v>721</v>
      </c>
      <c r="C680" s="12" t="s">
        <v>887</v>
      </c>
      <c r="D680" s="12"/>
      <c r="E680" s="12"/>
      <c r="F680" s="12">
        <v>58</v>
      </c>
      <c r="G680" s="29">
        <v>56</v>
      </c>
    </row>
    <row r="681" spans="2:7" x14ac:dyDescent="0.25">
      <c r="B681" s="16" t="s">
        <v>722</v>
      </c>
      <c r="C681" s="17" t="s">
        <v>888</v>
      </c>
      <c r="D681" s="17"/>
      <c r="E681" s="17"/>
      <c r="F681" s="17">
        <v>56</v>
      </c>
      <c r="G681" s="28">
        <v>54</v>
      </c>
    </row>
    <row r="682" spans="2:7" x14ac:dyDescent="0.25">
      <c r="B682" s="11" t="s">
        <v>723</v>
      </c>
      <c r="C682" s="12" t="s">
        <v>889</v>
      </c>
      <c r="D682" s="12"/>
      <c r="E682" s="12"/>
      <c r="F682" s="12">
        <v>96</v>
      </c>
      <c r="G682" s="29">
        <v>92</v>
      </c>
    </row>
    <row r="683" spans="2:7" x14ac:dyDescent="0.25">
      <c r="B683" s="16" t="s">
        <v>724</v>
      </c>
      <c r="C683" s="17" t="s">
        <v>890</v>
      </c>
      <c r="D683" s="17"/>
      <c r="E683" s="17"/>
      <c r="F683" s="17">
        <v>61</v>
      </c>
      <c r="G683" s="28">
        <v>59</v>
      </c>
    </row>
    <row r="684" spans="2:7" x14ac:dyDescent="0.25">
      <c r="B684" s="11" t="s">
        <v>725</v>
      </c>
      <c r="C684" s="12" t="s">
        <v>891</v>
      </c>
      <c r="D684" s="12"/>
      <c r="E684" s="12"/>
      <c r="F684" s="12">
        <v>68</v>
      </c>
      <c r="G684" s="29">
        <v>65</v>
      </c>
    </row>
    <row r="685" spans="2:7" x14ac:dyDescent="0.25">
      <c r="B685" s="16" t="s">
        <v>726</v>
      </c>
      <c r="C685" s="17" t="s">
        <v>892</v>
      </c>
      <c r="D685" s="17"/>
      <c r="E685" s="17"/>
      <c r="F685" s="17">
        <v>68</v>
      </c>
      <c r="G685" s="28">
        <v>65</v>
      </c>
    </row>
    <row r="686" spans="2:7" x14ac:dyDescent="0.25">
      <c r="B686" s="11" t="s">
        <v>727</v>
      </c>
      <c r="C686" s="12" t="s">
        <v>893</v>
      </c>
      <c r="D686" s="12"/>
      <c r="E686" s="12"/>
      <c r="F686" s="12">
        <v>74</v>
      </c>
      <c r="G686" s="29">
        <v>71</v>
      </c>
    </row>
    <row r="687" spans="2:7" x14ac:dyDescent="0.25">
      <c r="B687" s="16" t="s">
        <v>728</v>
      </c>
      <c r="C687" s="17" t="s">
        <v>894</v>
      </c>
      <c r="D687" s="17"/>
      <c r="E687" s="17"/>
      <c r="F687" s="17">
        <v>72</v>
      </c>
      <c r="G687" s="28">
        <v>69</v>
      </c>
    </row>
    <row r="688" spans="2:7" x14ac:dyDescent="0.25">
      <c r="B688" s="11" t="s">
        <v>729</v>
      </c>
      <c r="C688" s="12" t="s">
        <v>895</v>
      </c>
      <c r="D688" s="12"/>
      <c r="E688" s="12"/>
      <c r="F688" s="12">
        <v>74</v>
      </c>
      <c r="G688" s="29">
        <v>71</v>
      </c>
    </row>
    <row r="689" spans="2:7" x14ac:dyDescent="0.25">
      <c r="B689" s="16" t="s">
        <v>730</v>
      </c>
      <c r="C689" s="17" t="s">
        <v>896</v>
      </c>
      <c r="D689" s="17"/>
      <c r="E689" s="17"/>
      <c r="F689" s="17">
        <v>72</v>
      </c>
      <c r="G689" s="28">
        <v>69</v>
      </c>
    </row>
    <row r="690" spans="2:7" x14ac:dyDescent="0.25">
      <c r="B690" s="11" t="s">
        <v>731</v>
      </c>
      <c r="C690" s="12" t="s">
        <v>897</v>
      </c>
      <c r="D690" s="12"/>
      <c r="E690" s="12"/>
      <c r="F690" s="12">
        <v>68</v>
      </c>
      <c r="G690" s="29">
        <v>65</v>
      </c>
    </row>
    <row r="691" spans="2:7" x14ac:dyDescent="0.25">
      <c r="B691" s="16" t="s">
        <v>732</v>
      </c>
      <c r="C691" s="17" t="s">
        <v>898</v>
      </c>
      <c r="D691" s="17"/>
      <c r="E691" s="17"/>
      <c r="F691" s="17">
        <v>74</v>
      </c>
      <c r="G691" s="28">
        <v>71</v>
      </c>
    </row>
    <row r="692" spans="2:7" x14ac:dyDescent="0.25">
      <c r="B692" s="11" t="s">
        <v>603</v>
      </c>
      <c r="C692" s="12" t="s">
        <v>603</v>
      </c>
      <c r="D692" s="12"/>
      <c r="E692" s="12"/>
      <c r="F692" s="12">
        <v>60</v>
      </c>
      <c r="G692" s="29">
        <v>58</v>
      </c>
    </row>
    <row r="693" spans="2:7" x14ac:dyDescent="0.25">
      <c r="B693" s="16" t="s">
        <v>733</v>
      </c>
      <c r="C693" s="17" t="s">
        <v>899</v>
      </c>
      <c r="D693" s="17"/>
      <c r="E693" s="17"/>
      <c r="F693" s="17">
        <v>68</v>
      </c>
      <c r="G693" s="28">
        <v>65</v>
      </c>
    </row>
    <row r="694" spans="2:7" x14ac:dyDescent="0.25">
      <c r="B694" s="11" t="s">
        <v>734</v>
      </c>
      <c r="C694" s="12" t="s">
        <v>900</v>
      </c>
      <c r="D694" s="12"/>
      <c r="E694" s="12"/>
      <c r="F694" s="12">
        <v>74</v>
      </c>
      <c r="G694" s="29">
        <v>71</v>
      </c>
    </row>
    <row r="695" spans="2:7" x14ac:dyDescent="0.25">
      <c r="B695" s="16" t="s">
        <v>735</v>
      </c>
      <c r="C695" s="17" t="s">
        <v>901</v>
      </c>
      <c r="D695" s="17"/>
      <c r="E695" s="17"/>
      <c r="F695" s="17">
        <v>56</v>
      </c>
      <c r="G695" s="28">
        <v>54</v>
      </c>
    </row>
    <row r="696" spans="2:7" x14ac:dyDescent="0.25">
      <c r="B696" s="11" t="s">
        <v>736</v>
      </c>
      <c r="C696" s="12" t="s">
        <v>902</v>
      </c>
      <c r="D696" s="12"/>
      <c r="E696" s="12"/>
      <c r="F696" s="12">
        <v>56</v>
      </c>
      <c r="G696" s="29">
        <v>54</v>
      </c>
    </row>
    <row r="697" spans="2:7" x14ac:dyDescent="0.25">
      <c r="B697" s="16" t="s">
        <v>604</v>
      </c>
      <c r="C697" s="17" t="s">
        <v>903</v>
      </c>
      <c r="D697" s="17"/>
      <c r="E697" s="17"/>
      <c r="F697" s="17">
        <v>96</v>
      </c>
      <c r="G697" s="28">
        <v>92</v>
      </c>
    </row>
    <row r="698" spans="2:7" x14ac:dyDescent="0.25">
      <c r="B698" s="11" t="s">
        <v>605</v>
      </c>
      <c r="C698" s="12" t="s">
        <v>605</v>
      </c>
      <c r="D698" s="12"/>
      <c r="E698" s="12"/>
      <c r="F698" s="12">
        <v>48</v>
      </c>
      <c r="G698" s="29">
        <v>46</v>
      </c>
    </row>
    <row r="699" spans="2:7" x14ac:dyDescent="0.25">
      <c r="B699" s="16" t="s">
        <v>737</v>
      </c>
      <c r="C699" s="17" t="s">
        <v>904</v>
      </c>
      <c r="D699" s="17"/>
      <c r="E699" s="17"/>
      <c r="F699" s="17">
        <v>68</v>
      </c>
      <c r="G699" s="28">
        <v>65</v>
      </c>
    </row>
    <row r="700" spans="2:7" x14ac:dyDescent="0.25">
      <c r="B700" s="11" t="s">
        <v>606</v>
      </c>
      <c r="C700" s="12" t="s">
        <v>606</v>
      </c>
      <c r="D700" s="12"/>
      <c r="E700" s="12"/>
      <c r="F700" s="12">
        <v>68</v>
      </c>
      <c r="G700" s="29">
        <v>65</v>
      </c>
    </row>
    <row r="701" spans="2:7" x14ac:dyDescent="0.25">
      <c r="B701" s="16" t="s">
        <v>738</v>
      </c>
      <c r="C701" s="17" t="s">
        <v>905</v>
      </c>
      <c r="D701" s="17"/>
      <c r="E701" s="17"/>
      <c r="F701" s="17">
        <v>96</v>
      </c>
      <c r="G701" s="28">
        <v>92</v>
      </c>
    </row>
    <row r="702" spans="2:7" x14ac:dyDescent="0.25">
      <c r="B702" s="11" t="s">
        <v>739</v>
      </c>
      <c r="C702" s="12" t="s">
        <v>906</v>
      </c>
      <c r="D702" s="12"/>
      <c r="E702" s="12"/>
      <c r="F702" s="12">
        <v>61</v>
      </c>
      <c r="G702" s="29">
        <v>59</v>
      </c>
    </row>
    <row r="703" spans="2:7" x14ac:dyDescent="0.25">
      <c r="B703" s="16" t="s">
        <v>740</v>
      </c>
      <c r="C703" s="17" t="s">
        <v>907</v>
      </c>
      <c r="D703" s="17"/>
      <c r="E703" s="17"/>
      <c r="F703" s="17">
        <v>68</v>
      </c>
      <c r="G703" s="28">
        <v>65</v>
      </c>
    </row>
    <row r="704" spans="2:7" x14ac:dyDescent="0.25">
      <c r="B704" s="11" t="s">
        <v>741</v>
      </c>
      <c r="C704" s="12" t="s">
        <v>908</v>
      </c>
      <c r="D704" s="12"/>
      <c r="E704" s="12"/>
      <c r="F704" s="12">
        <v>56</v>
      </c>
      <c r="G704" s="29">
        <v>54</v>
      </c>
    </row>
    <row r="705" spans="2:7" x14ac:dyDescent="0.25">
      <c r="B705" s="16" t="s">
        <v>607</v>
      </c>
      <c r="C705" s="17" t="s">
        <v>909</v>
      </c>
      <c r="D705" s="17"/>
      <c r="E705" s="17"/>
      <c r="F705" s="17">
        <v>96</v>
      </c>
      <c r="G705" s="28">
        <v>92</v>
      </c>
    </row>
    <row r="706" spans="2:7" x14ac:dyDescent="0.25">
      <c r="B706" s="11" t="s">
        <v>742</v>
      </c>
      <c r="C706" s="12" t="s">
        <v>910</v>
      </c>
      <c r="D706" s="12"/>
      <c r="E706" s="12"/>
      <c r="F706" s="12">
        <v>74</v>
      </c>
      <c r="G706" s="29">
        <v>71</v>
      </c>
    </row>
    <row r="707" spans="2:7" x14ac:dyDescent="0.25">
      <c r="B707" s="16" t="s">
        <v>608</v>
      </c>
      <c r="C707" s="17" t="s">
        <v>608</v>
      </c>
      <c r="D707" s="17"/>
      <c r="E707" s="17"/>
      <c r="F707" s="17">
        <v>96</v>
      </c>
      <c r="G707" s="28">
        <v>92</v>
      </c>
    </row>
    <row r="708" spans="2:7" x14ac:dyDescent="0.25">
      <c r="B708" s="11" t="s">
        <v>743</v>
      </c>
      <c r="C708" s="12" t="s">
        <v>911</v>
      </c>
      <c r="D708" s="12"/>
      <c r="E708" s="12"/>
      <c r="F708" s="12">
        <v>68</v>
      </c>
      <c r="G708" s="29">
        <v>65</v>
      </c>
    </row>
    <row r="709" spans="2:7" x14ac:dyDescent="0.25">
      <c r="B709" s="16" t="s">
        <v>744</v>
      </c>
      <c r="C709" s="17" t="s">
        <v>912</v>
      </c>
      <c r="D709" s="17"/>
      <c r="E709" s="17"/>
      <c r="F709" s="17">
        <v>68</v>
      </c>
      <c r="G709" s="28">
        <v>65</v>
      </c>
    </row>
    <row r="710" spans="2:7" x14ac:dyDescent="0.25">
      <c r="B710" s="11" t="s">
        <v>745</v>
      </c>
      <c r="C710" s="12" t="s">
        <v>913</v>
      </c>
      <c r="D710" s="12"/>
      <c r="E710" s="12"/>
      <c r="F710" s="12">
        <v>96</v>
      </c>
      <c r="G710" s="29">
        <v>92</v>
      </c>
    </row>
    <row r="711" spans="2:7" x14ac:dyDescent="0.25">
      <c r="B711" s="16" t="s">
        <v>746</v>
      </c>
      <c r="C711" s="17" t="s">
        <v>914</v>
      </c>
      <c r="D711" s="17"/>
      <c r="E711" s="17"/>
      <c r="F711" s="17">
        <v>58</v>
      </c>
      <c r="G711" s="28">
        <v>56</v>
      </c>
    </row>
    <row r="712" spans="2:7" x14ac:dyDescent="0.25">
      <c r="B712" s="11" t="s">
        <v>747</v>
      </c>
      <c r="C712" s="12" t="s">
        <v>915</v>
      </c>
      <c r="D712" s="12"/>
      <c r="E712" s="12"/>
      <c r="F712" s="12">
        <v>58</v>
      </c>
      <c r="G712" s="29">
        <v>56</v>
      </c>
    </row>
    <row r="713" spans="2:7" x14ac:dyDescent="0.25">
      <c r="B713" s="16" t="s">
        <v>748</v>
      </c>
      <c r="C713" s="17" t="s">
        <v>916</v>
      </c>
      <c r="D713" s="17"/>
      <c r="E713" s="17"/>
      <c r="F713" s="17">
        <v>68</v>
      </c>
      <c r="G713" s="28">
        <v>65</v>
      </c>
    </row>
    <row r="714" spans="2:7" x14ac:dyDescent="0.25">
      <c r="B714" s="11" t="s">
        <v>749</v>
      </c>
      <c r="C714" s="12" t="s">
        <v>917</v>
      </c>
      <c r="D714" s="12"/>
      <c r="E714" s="12"/>
      <c r="F714" s="12">
        <v>58</v>
      </c>
      <c r="G714" s="29">
        <v>56</v>
      </c>
    </row>
    <row r="715" spans="2:7" x14ac:dyDescent="0.25">
      <c r="B715" s="16" t="s">
        <v>750</v>
      </c>
      <c r="C715" s="17" t="s">
        <v>918</v>
      </c>
      <c r="D715" s="17"/>
      <c r="E715" s="17"/>
      <c r="F715" s="17">
        <v>56</v>
      </c>
      <c r="G715" s="28">
        <v>54</v>
      </c>
    </row>
    <row r="716" spans="2:7" x14ac:dyDescent="0.25">
      <c r="B716" s="11" t="s">
        <v>751</v>
      </c>
      <c r="C716" s="12" t="s">
        <v>919</v>
      </c>
      <c r="D716" s="12"/>
      <c r="E716" s="12"/>
      <c r="F716" s="12">
        <v>61</v>
      </c>
      <c r="G716" s="29">
        <v>59</v>
      </c>
    </row>
    <row r="717" spans="2:7" x14ac:dyDescent="0.25">
      <c r="B717" s="16" t="s">
        <v>752</v>
      </c>
      <c r="C717" s="17" t="s">
        <v>920</v>
      </c>
      <c r="D717" s="17"/>
      <c r="E717" s="17"/>
      <c r="F717" s="17">
        <v>61</v>
      </c>
      <c r="G717" s="28">
        <v>59</v>
      </c>
    </row>
    <row r="718" spans="2:7" x14ac:dyDescent="0.25">
      <c r="B718" s="11" t="s">
        <v>753</v>
      </c>
      <c r="C718" s="12" t="s">
        <v>921</v>
      </c>
      <c r="D718" s="12"/>
      <c r="E718" s="12"/>
      <c r="F718" s="12">
        <v>74</v>
      </c>
      <c r="G718" s="29">
        <v>71</v>
      </c>
    </row>
    <row r="719" spans="2:7" x14ac:dyDescent="0.25">
      <c r="B719" s="16" t="s">
        <v>754</v>
      </c>
      <c r="C719" s="17" t="s">
        <v>922</v>
      </c>
      <c r="D719" s="17"/>
      <c r="E719" s="17"/>
      <c r="F719" s="17">
        <v>74</v>
      </c>
      <c r="G719" s="28">
        <v>71</v>
      </c>
    </row>
    <row r="720" spans="2:7" x14ac:dyDescent="0.25">
      <c r="B720" s="11" t="s">
        <v>755</v>
      </c>
      <c r="C720" s="12" t="s">
        <v>923</v>
      </c>
      <c r="D720" s="12"/>
      <c r="E720" s="12"/>
      <c r="F720" s="12">
        <v>68</v>
      </c>
      <c r="G720" s="29">
        <v>65</v>
      </c>
    </row>
    <row r="721" spans="2:7" x14ac:dyDescent="0.25">
      <c r="B721" s="16" t="s">
        <v>756</v>
      </c>
      <c r="C721" s="17" t="s">
        <v>924</v>
      </c>
      <c r="D721" s="17"/>
      <c r="E721" s="17"/>
      <c r="F721" s="17">
        <v>68</v>
      </c>
      <c r="G721" s="28">
        <v>65</v>
      </c>
    </row>
    <row r="722" spans="2:7" x14ac:dyDescent="0.25">
      <c r="B722" s="11" t="s">
        <v>757</v>
      </c>
      <c r="C722" s="12" t="s">
        <v>925</v>
      </c>
      <c r="D722" s="12"/>
      <c r="E722" s="12"/>
      <c r="F722" s="12">
        <v>61</v>
      </c>
      <c r="G722" s="29">
        <v>59</v>
      </c>
    </row>
    <row r="723" spans="2:7" x14ac:dyDescent="0.25">
      <c r="B723" s="16" t="s">
        <v>758</v>
      </c>
      <c r="C723" s="17" t="s">
        <v>926</v>
      </c>
      <c r="D723" s="17"/>
      <c r="E723" s="17"/>
      <c r="F723" s="17">
        <v>61</v>
      </c>
      <c r="G723" s="28">
        <v>59</v>
      </c>
    </row>
    <row r="724" spans="2:7" x14ac:dyDescent="0.25">
      <c r="B724" s="11" t="s">
        <v>759</v>
      </c>
      <c r="C724" s="12" t="s">
        <v>927</v>
      </c>
      <c r="D724" s="12"/>
      <c r="E724" s="12"/>
      <c r="F724" s="12">
        <v>68</v>
      </c>
      <c r="G724" s="29">
        <v>65</v>
      </c>
    </row>
    <row r="725" spans="2:7" x14ac:dyDescent="0.25">
      <c r="B725" s="16" t="s">
        <v>760</v>
      </c>
      <c r="C725" s="17" t="s">
        <v>928</v>
      </c>
      <c r="D725" s="17"/>
      <c r="E725" s="17"/>
      <c r="F725" s="17">
        <v>68</v>
      </c>
      <c r="G725" s="28">
        <v>65</v>
      </c>
    </row>
    <row r="726" spans="2:7" x14ac:dyDescent="0.25">
      <c r="B726" s="11" t="s">
        <v>761</v>
      </c>
      <c r="C726" s="12" t="s">
        <v>929</v>
      </c>
      <c r="D726" s="12"/>
      <c r="E726" s="12"/>
      <c r="F726" s="12">
        <v>68</v>
      </c>
      <c r="G726" s="29">
        <v>65</v>
      </c>
    </row>
    <row r="727" spans="2:7" x14ac:dyDescent="0.25">
      <c r="B727" s="16" t="s">
        <v>762</v>
      </c>
      <c r="C727" s="17" t="s">
        <v>930</v>
      </c>
      <c r="D727" s="17"/>
      <c r="E727" s="17"/>
      <c r="F727" s="17">
        <v>96</v>
      </c>
      <c r="G727" s="28">
        <v>92</v>
      </c>
    </row>
    <row r="728" spans="2:7" x14ac:dyDescent="0.25">
      <c r="B728" s="11" t="s">
        <v>763</v>
      </c>
      <c r="C728" s="12" t="s">
        <v>931</v>
      </c>
      <c r="D728" s="12"/>
      <c r="E728" s="12"/>
      <c r="F728" s="12">
        <v>58</v>
      </c>
      <c r="G728" s="29">
        <v>56</v>
      </c>
    </row>
    <row r="729" spans="2:7" x14ac:dyDescent="0.25">
      <c r="B729" s="16" t="s">
        <v>764</v>
      </c>
      <c r="C729" s="17" t="s">
        <v>932</v>
      </c>
      <c r="D729" s="17"/>
      <c r="E729" s="17"/>
      <c r="F729" s="17">
        <v>98</v>
      </c>
      <c r="G729" s="28">
        <v>94</v>
      </c>
    </row>
    <row r="730" spans="2:7" x14ac:dyDescent="0.25">
      <c r="B730" s="11" t="s">
        <v>765</v>
      </c>
      <c r="C730" s="12" t="s">
        <v>933</v>
      </c>
      <c r="D730" s="12"/>
      <c r="E730" s="12"/>
      <c r="F730" s="12">
        <v>68</v>
      </c>
      <c r="G730" s="29">
        <v>65</v>
      </c>
    </row>
    <row r="731" spans="2:7" x14ac:dyDescent="0.25">
      <c r="B731" s="16" t="s">
        <v>766</v>
      </c>
      <c r="C731" s="17" t="s">
        <v>934</v>
      </c>
      <c r="D731" s="17"/>
      <c r="E731" s="17"/>
      <c r="F731" s="17">
        <v>58</v>
      </c>
      <c r="G731" s="28">
        <v>56</v>
      </c>
    </row>
    <row r="732" spans="2:7" x14ac:dyDescent="0.25">
      <c r="B732" s="11" t="s">
        <v>767</v>
      </c>
      <c r="C732" s="12" t="s">
        <v>935</v>
      </c>
      <c r="D732" s="12"/>
      <c r="E732" s="12"/>
      <c r="F732" s="12">
        <v>69</v>
      </c>
      <c r="G732" s="29">
        <v>66</v>
      </c>
    </row>
    <row r="733" spans="2:7" x14ac:dyDescent="0.25">
      <c r="B733" s="16" t="s">
        <v>768</v>
      </c>
      <c r="C733" s="17" t="s">
        <v>936</v>
      </c>
      <c r="D733" s="17"/>
      <c r="E733" s="17"/>
      <c r="F733" s="17">
        <v>69</v>
      </c>
      <c r="G733" s="28">
        <v>66</v>
      </c>
    </row>
    <row r="734" spans="2:7" x14ac:dyDescent="0.25">
      <c r="B734" s="11" t="s">
        <v>609</v>
      </c>
      <c r="C734" s="12" t="s">
        <v>937</v>
      </c>
      <c r="D734" s="12"/>
      <c r="E734" s="12"/>
      <c r="F734" s="12">
        <v>74</v>
      </c>
      <c r="G734" s="29">
        <v>71</v>
      </c>
    </row>
    <row r="735" spans="2:7" x14ac:dyDescent="0.25">
      <c r="B735" s="16" t="s">
        <v>769</v>
      </c>
      <c r="C735" s="17" t="s">
        <v>938</v>
      </c>
      <c r="D735" s="17"/>
      <c r="E735" s="17"/>
      <c r="F735" s="17">
        <v>73</v>
      </c>
      <c r="G735" s="28">
        <v>70</v>
      </c>
    </row>
    <row r="736" spans="2:7" x14ac:dyDescent="0.25">
      <c r="B736" s="11" t="s">
        <v>770</v>
      </c>
      <c r="C736" s="12" t="s">
        <v>939</v>
      </c>
      <c r="D736" s="12"/>
      <c r="E736" s="12"/>
      <c r="F736" s="12">
        <v>78</v>
      </c>
      <c r="G736" s="29">
        <v>75</v>
      </c>
    </row>
    <row r="737" spans="2:7" x14ac:dyDescent="0.25">
      <c r="B737" s="16" t="s">
        <v>771</v>
      </c>
      <c r="C737" s="17" t="s">
        <v>940</v>
      </c>
      <c r="D737" s="17"/>
      <c r="E737" s="17"/>
      <c r="F737" s="17">
        <v>100</v>
      </c>
      <c r="G737" s="28">
        <v>96</v>
      </c>
    </row>
    <row r="738" spans="2:7" x14ac:dyDescent="0.25">
      <c r="B738" s="11" t="s">
        <v>772</v>
      </c>
      <c r="C738" s="12" t="s">
        <v>941</v>
      </c>
      <c r="D738" s="12"/>
      <c r="E738" s="12"/>
      <c r="F738" s="12">
        <v>74</v>
      </c>
      <c r="G738" s="29">
        <v>71</v>
      </c>
    </row>
    <row r="739" spans="2:7" x14ac:dyDescent="0.25">
      <c r="B739" s="16" t="s">
        <v>773</v>
      </c>
      <c r="C739" s="17" t="s">
        <v>942</v>
      </c>
      <c r="D739" s="17"/>
      <c r="E739" s="17"/>
      <c r="F739" s="17">
        <v>110</v>
      </c>
      <c r="G739" s="28">
        <v>105</v>
      </c>
    </row>
    <row r="740" spans="2:7" x14ac:dyDescent="0.25">
      <c r="B740" s="11" t="s">
        <v>774</v>
      </c>
      <c r="C740" s="12" t="s">
        <v>943</v>
      </c>
      <c r="D740" s="12"/>
      <c r="E740" s="12"/>
      <c r="F740" s="12">
        <v>74</v>
      </c>
      <c r="G740" s="29">
        <v>71</v>
      </c>
    </row>
    <row r="741" spans="2:7" x14ac:dyDescent="0.25">
      <c r="B741" s="16" t="s">
        <v>775</v>
      </c>
      <c r="C741" s="17" t="s">
        <v>944</v>
      </c>
      <c r="D741" s="17"/>
      <c r="E741" s="17"/>
      <c r="F741" s="17">
        <v>84</v>
      </c>
      <c r="G741" s="28">
        <v>80</v>
      </c>
    </row>
    <row r="742" spans="2:7" x14ac:dyDescent="0.25">
      <c r="B742" s="11" t="s">
        <v>776</v>
      </c>
      <c r="C742" s="12" t="s">
        <v>945</v>
      </c>
      <c r="D742" s="12"/>
      <c r="E742" s="12"/>
      <c r="F742" s="12">
        <v>58</v>
      </c>
      <c r="G742" s="29">
        <v>56</v>
      </c>
    </row>
    <row r="743" spans="2:7" x14ac:dyDescent="0.25">
      <c r="B743" s="16" t="s">
        <v>777</v>
      </c>
      <c r="C743" s="17" t="s">
        <v>610</v>
      </c>
      <c r="D743" s="17"/>
      <c r="E743" s="17"/>
      <c r="F743" s="17">
        <v>52</v>
      </c>
      <c r="G743" s="28">
        <v>50</v>
      </c>
    </row>
    <row r="744" spans="2:7" x14ac:dyDescent="0.25">
      <c r="B744" s="11" t="s">
        <v>778</v>
      </c>
      <c r="C744" s="12" t="s">
        <v>611</v>
      </c>
      <c r="D744" s="12"/>
      <c r="E744" s="12"/>
      <c r="F744" s="12">
        <v>55</v>
      </c>
      <c r="G744" s="29">
        <v>53</v>
      </c>
    </row>
    <row r="745" spans="2:7" x14ac:dyDescent="0.25">
      <c r="B745" s="16" t="s">
        <v>779</v>
      </c>
      <c r="C745" s="17" t="s">
        <v>946</v>
      </c>
      <c r="D745" s="17"/>
      <c r="E745" s="17"/>
      <c r="F745" s="17">
        <v>56</v>
      </c>
      <c r="G745" s="28">
        <v>54</v>
      </c>
    </row>
    <row r="746" spans="2:7" x14ac:dyDescent="0.25">
      <c r="B746" s="11" t="s">
        <v>780</v>
      </c>
      <c r="C746" s="12" t="s">
        <v>947</v>
      </c>
      <c r="D746" s="12"/>
      <c r="E746" s="12"/>
      <c r="F746" s="12">
        <v>68</v>
      </c>
      <c r="G746" s="29">
        <v>65</v>
      </c>
    </row>
    <row r="747" spans="2:7" x14ac:dyDescent="0.25">
      <c r="B747" s="16" t="s">
        <v>781</v>
      </c>
      <c r="C747" s="17" t="s">
        <v>948</v>
      </c>
      <c r="D747" s="17"/>
      <c r="E747" s="17"/>
      <c r="F747" s="17">
        <v>68</v>
      </c>
      <c r="G747" s="28">
        <v>65</v>
      </c>
    </row>
    <row r="748" spans="2:7" x14ac:dyDescent="0.25">
      <c r="B748" s="11" t="s">
        <v>782</v>
      </c>
      <c r="C748" s="12" t="s">
        <v>949</v>
      </c>
      <c r="D748" s="12"/>
      <c r="E748" s="12"/>
      <c r="F748" s="12">
        <v>72</v>
      </c>
      <c r="G748" s="29">
        <v>69</v>
      </c>
    </row>
    <row r="749" spans="2:7" x14ac:dyDescent="0.25">
      <c r="B749" s="16" t="s">
        <v>783</v>
      </c>
      <c r="C749" s="17" t="s">
        <v>950</v>
      </c>
      <c r="D749" s="17"/>
      <c r="E749" s="17"/>
      <c r="F749" s="17">
        <v>84</v>
      </c>
      <c r="G749" s="28">
        <v>80</v>
      </c>
    </row>
    <row r="750" spans="2:7" x14ac:dyDescent="0.25">
      <c r="B750" s="11" t="s">
        <v>784</v>
      </c>
      <c r="C750" s="12" t="s">
        <v>951</v>
      </c>
      <c r="D750" s="12"/>
      <c r="E750" s="12"/>
      <c r="F750" s="12">
        <v>84</v>
      </c>
      <c r="G750" s="29">
        <v>80</v>
      </c>
    </row>
    <row r="751" spans="2:7" x14ac:dyDescent="0.25">
      <c r="B751" s="16" t="s">
        <v>785</v>
      </c>
      <c r="C751" s="17" t="s">
        <v>612</v>
      </c>
      <c r="D751" s="17"/>
      <c r="E751" s="17"/>
      <c r="F751" s="17">
        <v>54</v>
      </c>
      <c r="G751" s="28">
        <v>52</v>
      </c>
    </row>
    <row r="752" spans="2:7" x14ac:dyDescent="0.25">
      <c r="B752" s="11" t="s">
        <v>786</v>
      </c>
      <c r="C752" s="12" t="s">
        <v>613</v>
      </c>
      <c r="D752" s="12"/>
      <c r="E752" s="12"/>
      <c r="F752" s="12">
        <v>68</v>
      </c>
      <c r="G752" s="29">
        <v>65</v>
      </c>
    </row>
    <row r="753" spans="2:7" x14ac:dyDescent="0.25">
      <c r="B753" s="16" t="s">
        <v>787</v>
      </c>
      <c r="C753" s="17" t="s">
        <v>952</v>
      </c>
      <c r="D753" s="17"/>
      <c r="E753" s="17"/>
      <c r="F753" s="17">
        <v>62</v>
      </c>
      <c r="G753" s="28">
        <v>60</v>
      </c>
    </row>
    <row r="754" spans="2:7" x14ac:dyDescent="0.25">
      <c r="B754" s="11" t="s">
        <v>614</v>
      </c>
      <c r="C754" s="12" t="s">
        <v>614</v>
      </c>
      <c r="D754" s="12"/>
      <c r="E754" s="12"/>
      <c r="F754" s="12">
        <v>48</v>
      </c>
      <c r="G754" s="29">
        <v>46</v>
      </c>
    </row>
    <row r="755" spans="2:7" x14ac:dyDescent="0.25">
      <c r="B755" s="16" t="s">
        <v>615</v>
      </c>
      <c r="C755" s="17" t="s">
        <v>615</v>
      </c>
      <c r="D755" s="17"/>
      <c r="E755" s="17"/>
      <c r="F755" s="17">
        <v>48</v>
      </c>
      <c r="G755" s="28">
        <v>46</v>
      </c>
    </row>
    <row r="756" spans="2:7" x14ac:dyDescent="0.25">
      <c r="B756" s="11" t="s">
        <v>788</v>
      </c>
      <c r="C756" s="12" t="s">
        <v>616</v>
      </c>
      <c r="D756" s="12"/>
      <c r="E756" s="12"/>
      <c r="F756" s="12">
        <v>68</v>
      </c>
      <c r="G756" s="29">
        <v>65</v>
      </c>
    </row>
    <row r="757" spans="2:7" x14ac:dyDescent="0.25">
      <c r="B757" s="16" t="s">
        <v>790</v>
      </c>
      <c r="C757" s="17" t="s">
        <v>617</v>
      </c>
      <c r="D757" s="17"/>
      <c r="E757" s="17"/>
      <c r="F757" s="17">
        <v>96</v>
      </c>
      <c r="G757" s="28">
        <v>92</v>
      </c>
    </row>
    <row r="758" spans="2:7" x14ac:dyDescent="0.25">
      <c r="B758" s="11" t="s">
        <v>789</v>
      </c>
      <c r="C758" s="12" t="s">
        <v>953</v>
      </c>
      <c r="D758" s="12"/>
      <c r="E758" s="12"/>
      <c r="F758" s="12">
        <v>60</v>
      </c>
      <c r="G758" s="29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242034-5EE9-43F1-96BA-19865D4E00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0F7657-31AC-4192-8708-8D69A411F88C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662D685E-8987-41DD-BCE9-430463DC814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6dc4bcd6-49db-4c07-9060-8acfc67cef9f"/>
    <ds:schemaRef ds:uri="fb0879af-3eba-417a-a55a-ffe6dcd6ca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Lista de precios.</vt:lpstr>
      <vt:lpstr>Hoja1</vt:lpstr>
      <vt:lpstr>Lista de precios.!Área_de_impresión</vt:lpstr>
      <vt:lpstr>Lista de precios.!Print_Area</vt:lpstr>
      <vt:lpstr>Lista de precios.!Títulos_a_imprimir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2019-03-07T03:11:35Z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